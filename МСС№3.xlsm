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90" windowHeight="7665"/>
  </bookViews>
  <sheets>
    <sheet name="Лист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CV83" i="1" l="1"/>
  <c r="BO96" i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39" i="1"/>
  <c r="CV71" i="1" s="1"/>
  <c r="EB43" i="1"/>
  <c r="CV75" i="1" s="1"/>
  <c r="EB47" i="1"/>
  <c r="CV79" i="1" s="1"/>
  <c r="EB51" i="1"/>
  <c r="EB55" i="1"/>
  <c r="CV87" i="1" s="1"/>
  <c r="EB59" i="1"/>
  <c r="CV91" i="1" s="1"/>
  <c r="EB63" i="1"/>
  <c r="CV95" i="1" s="1"/>
  <c r="CY46" i="1"/>
  <c r="BS78" i="1" s="1"/>
  <c r="CY62" i="1"/>
  <c r="BS94" i="1" s="1"/>
  <c r="CY35" i="1"/>
  <c r="BS67" i="1" s="1"/>
  <c r="AJ4" i="1"/>
  <c r="AJ5" i="1"/>
  <c r="CV37" i="1" s="1"/>
  <c r="AJ6" i="1"/>
  <c r="EB38" i="1" s="1"/>
  <c r="CV70" i="1" s="1"/>
  <c r="AJ7" i="1"/>
  <c r="AJ8" i="1"/>
  <c r="AJ9" i="1"/>
  <c r="EB41" i="1" s="1"/>
  <c r="CV73" i="1" s="1"/>
  <c r="AJ10" i="1"/>
  <c r="EB42" i="1" s="1"/>
  <c r="CV74" i="1" s="1"/>
  <c r="AJ11" i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AJ20" i="1"/>
  <c r="AJ21" i="1"/>
  <c r="CV53" i="1" s="1"/>
  <c r="AJ22" i="1"/>
  <c r="EB54" i="1" s="1"/>
  <c r="CV86" i="1" s="1"/>
  <c r="AJ23" i="1"/>
  <c r="AJ24" i="1"/>
  <c r="AJ25" i="1"/>
  <c r="EB57" i="1" s="1"/>
  <c r="CV89" i="1" s="1"/>
  <c r="AJ26" i="1"/>
  <c r="EB58" i="1" s="1"/>
  <c r="CV90" i="1" s="1"/>
  <c r="AJ27" i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8" i="1"/>
  <c r="CV49" i="1"/>
  <c r="CV64" i="1"/>
  <c r="CT35" i="1"/>
  <c r="CU35" i="1"/>
  <c r="CT36" i="1"/>
  <c r="CU36" i="1"/>
  <c r="CT37" i="1"/>
  <c r="CU37" i="1"/>
  <c r="CT38" i="1"/>
  <c r="CU38" i="1"/>
  <c r="CV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V43" i="1"/>
  <c r="CT44" i="1"/>
  <c r="CU44" i="1"/>
  <c r="CT45" i="1"/>
  <c r="CU45" i="1"/>
  <c r="CT46" i="1"/>
  <c r="CU46" i="1"/>
  <c r="CV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V51" i="1"/>
  <c r="CT52" i="1"/>
  <c r="CU52" i="1"/>
  <c r="CT53" i="1"/>
  <c r="CU53" i="1"/>
  <c r="CT54" i="1"/>
  <c r="CU54" i="1"/>
  <c r="CV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V59" i="1"/>
  <c r="CT60" i="1"/>
  <c r="CU60" i="1"/>
  <c r="CT61" i="1"/>
  <c r="CU61" i="1"/>
  <c r="CT62" i="1"/>
  <c r="CU62" i="1"/>
  <c r="CV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1" i="1"/>
  <c r="BS42" i="1"/>
  <c r="BS45" i="1"/>
  <c r="BS46" i="1"/>
  <c r="BS50" i="1"/>
  <c r="BS57" i="1"/>
  <c r="BS58" i="1"/>
  <c r="BS61" i="1"/>
  <c r="BS62" i="1"/>
  <c r="BS35" i="1"/>
  <c r="AM38" i="1"/>
  <c r="AM42" i="1"/>
  <c r="AM43" i="1"/>
  <c r="AM50" i="1"/>
  <c r="AM54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G10" i="1"/>
  <c r="CY42" i="1" s="1"/>
  <c r="BS74" i="1" s="1"/>
  <c r="G11" i="1"/>
  <c r="G12" i="1"/>
  <c r="CY44" i="1" s="1"/>
  <c r="BS76" i="1" s="1"/>
  <c r="G13" i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G26" i="1"/>
  <c r="CY58" i="1" s="1"/>
  <c r="BS90" i="1" s="1"/>
  <c r="G27" i="1"/>
  <c r="G28" i="1"/>
  <c r="CY60" i="1" s="1"/>
  <c r="BS92" i="1" s="1"/>
  <c r="G29" i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M48" i="1" l="1"/>
  <c r="AN57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AN36" i="1" s="1"/>
  <c r="BS56" i="1"/>
  <c r="BS40" i="1"/>
  <c r="D17" i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H58" i="1"/>
  <c r="H53" i="1"/>
  <c r="L49" i="1"/>
  <c r="M49" i="1" s="1"/>
  <c r="N49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AM56" i="1"/>
  <c r="AM51" i="1"/>
  <c r="AM40" i="1"/>
  <c r="BS60" i="1"/>
  <c r="BS54" i="1"/>
  <c r="BS44" i="1"/>
  <c r="BS38" i="1"/>
  <c r="D20" i="1"/>
  <c r="AM64" i="1"/>
  <c r="AN64" i="1" s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BS52" i="1"/>
  <c r="BS36" i="1"/>
  <c r="CY63" i="1"/>
  <c r="BS95" i="1" s="1"/>
  <c r="BS63" i="1"/>
  <c r="H48" i="1"/>
  <c r="I48" i="1" s="1"/>
  <c r="J48" i="1" s="1"/>
  <c r="K48" i="1" s="1"/>
  <c r="AM47" i="1"/>
  <c r="D18" i="1"/>
  <c r="CY61" i="1"/>
  <c r="BS93" i="1" s="1"/>
  <c r="AM61" i="1"/>
  <c r="AN61" i="1" s="1"/>
  <c r="CY57" i="1"/>
  <c r="BS89" i="1" s="1"/>
  <c r="AM57" i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H35" i="1"/>
  <c r="H63" i="1"/>
  <c r="H51" i="1"/>
  <c r="AO51" i="1" s="1"/>
  <c r="H49" i="1"/>
  <c r="I49" i="1" s="1"/>
  <c r="J49" i="1" s="1"/>
  <c r="K49" i="1" s="1"/>
  <c r="H38" i="1"/>
  <c r="AM60" i="1"/>
  <c r="AN60" i="1" s="1"/>
  <c r="AM55" i="1"/>
  <c r="AM44" i="1"/>
  <c r="AN44" i="1" s="1"/>
  <c r="AO44" i="1" s="1"/>
  <c r="AP44" i="1" s="1"/>
  <c r="AQ44" i="1" s="1"/>
  <c r="AR44" i="1" s="1"/>
  <c r="AM39" i="1"/>
  <c r="AN39" i="1" s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N51" i="1"/>
  <c r="AN49" i="1"/>
  <c r="AN47" i="1"/>
  <c r="AN45" i="1"/>
  <c r="AN43" i="1"/>
  <c r="AN41" i="1"/>
  <c r="AN37" i="1"/>
  <c r="AN35" i="1"/>
  <c r="AO35" i="1" s="1"/>
  <c r="CV35" i="1"/>
  <c r="CV57" i="1"/>
  <c r="CV41" i="1"/>
  <c r="AN58" i="1"/>
  <c r="AO58" i="1" s="1"/>
  <c r="AN56" i="1"/>
  <c r="AN54" i="1"/>
  <c r="AN52" i="1"/>
  <c r="AN50" i="1"/>
  <c r="AN48" i="1"/>
  <c r="AO48" i="1" s="1"/>
  <c r="AP48" i="1" s="1"/>
  <c r="AQ48" i="1" s="1"/>
  <c r="AR48" i="1" s="1"/>
  <c r="AN46" i="1"/>
  <c r="AN42" i="1"/>
  <c r="AN40" i="1"/>
  <c r="AN38" i="1"/>
  <c r="EB61" i="1"/>
  <c r="CV93" i="1" s="1"/>
  <c r="EB53" i="1"/>
  <c r="CV85" i="1" s="1"/>
  <c r="EB45" i="1"/>
  <c r="CV77" i="1" s="1"/>
  <c r="EB37" i="1"/>
  <c r="CV69" i="1" s="1"/>
  <c r="AO49" i="1"/>
  <c r="AP49" i="1" s="1"/>
  <c r="AQ49" i="1" s="1"/>
  <c r="AR49" i="1" s="1"/>
  <c r="AO53" i="1"/>
  <c r="AO38" i="1"/>
  <c r="AO42" i="1" l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V94" i="1"/>
  <c r="I95" i="1"/>
  <c r="M95" i="1"/>
  <c r="Y95" i="1"/>
  <c r="AC95" i="1"/>
  <c r="V93" i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O94" i="1"/>
  <c r="N95" i="1"/>
  <c r="R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AA95" i="1"/>
  <c r="AA94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AO43" i="1" s="1"/>
  <c r="I47" i="1"/>
  <c r="J47" i="1" s="1"/>
  <c r="K47" i="1" s="1"/>
  <c r="L47" i="1" s="1"/>
  <c r="M47" i="1" s="1"/>
  <c r="N47" i="1" s="1"/>
  <c r="O47" i="1" s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Q48" i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I62" i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P38" i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AS49" i="1"/>
  <c r="AT49" i="1" s="1"/>
  <c r="AU49" i="1" s="1"/>
  <c r="AV49" i="1" s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EA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AQ51" i="1" s="1"/>
  <c r="AR51" i="1" s="1"/>
  <c r="AS51" i="1" s="1"/>
  <c r="AT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AP50" i="1" s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BP50" i="1" s="1"/>
  <c r="H56" i="1"/>
  <c r="AO56" i="1" s="1"/>
  <c r="I35" i="1"/>
  <c r="AP35" i="1" s="1"/>
  <c r="AQ35" i="1" s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BP35" i="1" s="1"/>
  <c r="L48" i="1"/>
  <c r="M48" i="1" s="1"/>
  <c r="N48" i="1" s="1"/>
  <c r="O48" i="1" s="1"/>
  <c r="P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AO62" i="1" s="1"/>
  <c r="AP62" i="1" s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Z47" i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P47" i="1"/>
  <c r="Q47" i="1" s="1"/>
  <c r="R47" i="1" s="1"/>
  <c r="S47" i="1" s="1"/>
  <c r="T47" i="1" s="1"/>
  <c r="U47" i="1" s="1"/>
  <c r="V47" i="1" s="1"/>
  <c r="W47" i="1" s="1"/>
  <c r="X47" i="1" s="1"/>
  <c r="Y47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EA60" i="1"/>
  <c r="BP63" i="1"/>
  <c r="BP49" i="1"/>
  <c r="BP38" i="1"/>
  <c r="EA38" i="1"/>
  <c r="AJ62" i="1" l="1"/>
  <c r="AJ51" i="1"/>
  <c r="AJ39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EA50" i="1"/>
  <c r="AJ52" i="1"/>
  <c r="AJ61" i="1"/>
  <c r="EA61" i="1"/>
  <c r="AJ42" i="1"/>
  <c r="AJ45" i="1"/>
  <c r="EA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EA58" i="1"/>
  <c r="CU90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P59" i="1" s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EA35" i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N93" i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AA67" i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R67" i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N94" i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D67" i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Y67" i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67" i="1"/>
  <c r="DZ35" i="1"/>
  <c r="CU81" i="1"/>
  <c r="DZ49" i="1"/>
  <c r="CU82" i="1"/>
  <c r="DZ50" i="1"/>
  <c r="CU95" i="1"/>
  <c r="BO95" i="1" s="1"/>
  <c r="DZ63" i="1"/>
  <c r="DZ47" i="1"/>
  <c r="CU79" i="1"/>
  <c r="CU93" i="1"/>
  <c r="DZ61" i="1"/>
  <c r="DZ38" i="1"/>
  <c r="CU70" i="1"/>
  <c r="DZ45" i="1"/>
  <c r="CU77" i="1"/>
  <c r="CU92" i="1"/>
  <c r="DZ60" i="1"/>
  <c r="AJ43" i="1" l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EA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0" i="1"/>
  <c r="CT92" i="1"/>
  <c r="DY61" i="1"/>
  <c r="CT93" i="1"/>
  <c r="DY63" i="1"/>
  <c r="CT95" i="1"/>
  <c r="BN95" i="1" s="1"/>
  <c r="DY49" i="1"/>
  <c r="CT81" i="1"/>
  <c r="DY45" i="1"/>
  <c r="CT77" i="1"/>
  <c r="DY38" i="1"/>
  <c r="CT70" i="1"/>
  <c r="DY58" i="1"/>
  <c r="CT90" i="1"/>
  <c r="DY50" i="1"/>
  <c r="CT82" i="1"/>
  <c r="DY35" i="1"/>
  <c r="CT67" i="1"/>
  <c r="DZ40" i="1" l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BO93" i="1" s="1"/>
  <c r="BO92" i="1" s="1"/>
  <c r="BO91" i="1" s="1"/>
  <c r="BO90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5" i="1"/>
  <c r="CS77" i="1"/>
  <c r="DX47" i="1"/>
  <c r="CS79" i="1"/>
  <c r="DX58" i="1"/>
  <c r="CS90" i="1"/>
  <c r="DX35" i="1"/>
  <c r="CS67" i="1"/>
  <c r="DX61" i="1"/>
  <c r="CS93" i="1"/>
  <c r="DX60" i="1"/>
  <c r="CS92" i="1"/>
  <c r="DW64" i="1"/>
  <c r="CR96" i="1"/>
  <c r="DX50" i="1"/>
  <c r="CS82" i="1"/>
  <c r="DX38" i="1"/>
  <c r="CS70" i="1"/>
  <c r="DX49" i="1"/>
  <c r="CS81" i="1"/>
  <c r="DX63" i="1"/>
  <c r="CS95" i="1"/>
  <c r="BM95" i="1" s="1"/>
  <c r="DZ46" i="1" l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BN93" i="1" s="1"/>
  <c r="BN92" i="1" s="1"/>
  <c r="BN91" i="1" s="1"/>
  <c r="BN90" i="1" s="1"/>
  <c r="BN89" i="1" s="1"/>
  <c r="BN88" i="1" s="1"/>
  <c r="BN87" i="1" s="1"/>
  <c r="BN86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50" i="1"/>
  <c r="CR82" i="1"/>
  <c r="DW45" i="1"/>
  <c r="CR77" i="1"/>
  <c r="DW49" i="1"/>
  <c r="CR81" i="1"/>
  <c r="DW60" i="1"/>
  <c r="CR92" i="1"/>
  <c r="DW35" i="1"/>
  <c r="CR67" i="1"/>
  <c r="DW63" i="1"/>
  <c r="CR95" i="1"/>
  <c r="BL95" i="1" s="1"/>
  <c r="CQ96" i="1"/>
  <c r="DV64" i="1"/>
  <c r="DW61" i="1"/>
  <c r="CR93" i="1"/>
  <c r="DW58" i="1"/>
  <c r="CR90" i="1"/>
  <c r="DW47" i="1"/>
  <c r="CR79" i="1"/>
  <c r="BO67" i="1" l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BN85" i="1"/>
  <c r="BN84" i="1" s="1"/>
  <c r="BN83" i="1" s="1"/>
  <c r="BN82" i="1" s="1"/>
  <c r="BN81" i="1" s="1"/>
  <c r="BN80" i="1" s="1"/>
  <c r="BN79" i="1" s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CQ93" i="1"/>
  <c r="DV61" i="1"/>
  <c r="DV35" i="1"/>
  <c r="CQ67" i="1"/>
  <c r="DV50" i="1"/>
  <c r="CQ82" i="1"/>
  <c r="DV38" i="1"/>
  <c r="CQ70" i="1"/>
  <c r="DU64" i="1"/>
  <c r="CP96" i="1"/>
  <c r="DV47" i="1"/>
  <c r="CQ79" i="1"/>
  <c r="DV63" i="1"/>
  <c r="CQ95" i="1"/>
  <c r="BK95" i="1" s="1"/>
  <c r="CQ92" i="1"/>
  <c r="DV60" i="1"/>
  <c r="DV49" i="1"/>
  <c r="CQ81" i="1"/>
  <c r="DV45" i="1"/>
  <c r="CQ77" i="1"/>
  <c r="DW52" i="1" l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45" i="1"/>
  <c r="CP77" i="1"/>
  <c r="DU61" i="1"/>
  <c r="CP93" i="1"/>
  <c r="DU38" i="1"/>
  <c r="CP70" i="1"/>
  <c r="DU50" i="1"/>
  <c r="CP82" i="1"/>
  <c r="DU58" i="1"/>
  <c r="CP90" i="1"/>
  <c r="DU60" i="1"/>
  <c r="CP92" i="1"/>
  <c r="DT64" i="1"/>
  <c r="CO96" i="1"/>
  <c r="DU49" i="1"/>
  <c r="CP81" i="1"/>
  <c r="DU63" i="1"/>
  <c r="CP95" i="1"/>
  <c r="BJ95" i="1" s="1"/>
  <c r="DU47" i="1"/>
  <c r="CP79" i="1"/>
  <c r="DU35" i="1"/>
  <c r="CP67" i="1"/>
  <c r="CQ68" i="1" l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BL78" i="1" s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CQ91" i="1"/>
  <c r="DV59" i="1"/>
  <c r="DW46" i="1"/>
  <c r="CR78" i="1"/>
  <c r="CQ80" i="1"/>
  <c r="DV48" i="1"/>
  <c r="CQ94" i="1"/>
  <c r="BK94" i="1" s="1"/>
  <c r="BK93" i="1" s="1"/>
  <c r="BK92" i="1" s="1"/>
  <c r="BK91" i="1" s="1"/>
  <c r="BK90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T50" i="1"/>
  <c r="CO82" i="1"/>
  <c r="DT61" i="1"/>
  <c r="CO93" i="1"/>
  <c r="DS64" i="1"/>
  <c r="CN96" i="1"/>
  <c r="DT35" i="1"/>
  <c r="CO67" i="1"/>
  <c r="DT47" i="1"/>
  <c r="CO79" i="1"/>
  <c r="DT63" i="1"/>
  <c r="CO95" i="1"/>
  <c r="BI95" i="1" s="1"/>
  <c r="DT49" i="1"/>
  <c r="CO81" i="1"/>
  <c r="DT60" i="1"/>
  <c r="CO92" i="1"/>
  <c r="DT38" i="1"/>
  <c r="CO70" i="1"/>
  <c r="DT45" i="1"/>
  <c r="CO77" i="1"/>
  <c r="BL67" i="1" l="1"/>
  <c r="DX67" i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5" i="1"/>
  <c r="CN77" i="1"/>
  <c r="DS60" i="1"/>
  <c r="CN92" i="1"/>
  <c r="DS49" i="1"/>
  <c r="CN81" i="1"/>
  <c r="DS47" i="1"/>
  <c r="CN79" i="1"/>
  <c r="DR64" i="1"/>
  <c r="CM96" i="1"/>
  <c r="DS61" i="1"/>
  <c r="CN93" i="1"/>
  <c r="DS38" i="1"/>
  <c r="CN70" i="1"/>
  <c r="DS63" i="1"/>
  <c r="CN95" i="1"/>
  <c r="BH95" i="1" s="1"/>
  <c r="DS35" i="1"/>
  <c r="CN67" i="1"/>
  <c r="DS50" i="1"/>
  <c r="CN82" i="1"/>
  <c r="DS58" i="1"/>
  <c r="CN90" i="1"/>
  <c r="DT48" i="1" l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BI82" i="1" s="1"/>
  <c r="BI81" i="1" s="1"/>
  <c r="BI80" i="1" s="1"/>
  <c r="BI79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49" i="1"/>
  <c r="CM81" i="1"/>
  <c r="DR63" i="1"/>
  <c r="CM95" i="1"/>
  <c r="BG95" i="1" s="1"/>
  <c r="DR38" i="1"/>
  <c r="CM70" i="1"/>
  <c r="DQ64" i="1"/>
  <c r="CL96" i="1"/>
  <c r="DR58" i="1"/>
  <c r="CM90" i="1"/>
  <c r="DR61" i="1"/>
  <c r="CM93" i="1"/>
  <c r="DR50" i="1"/>
  <c r="CM82" i="1"/>
  <c r="DR35" i="1"/>
  <c r="CM67" i="1"/>
  <c r="DR47" i="1"/>
  <c r="CM79" i="1"/>
  <c r="DR60" i="1"/>
  <c r="CM92" i="1"/>
  <c r="DR45" i="1"/>
  <c r="CM77" i="1"/>
  <c r="CN76" i="1" l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BI78" i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5" i="1"/>
  <c r="CL77" i="1"/>
  <c r="DQ60" i="1"/>
  <c r="CL92" i="1"/>
  <c r="DQ47" i="1"/>
  <c r="CL79" i="1"/>
  <c r="DQ35" i="1"/>
  <c r="CL67" i="1"/>
  <c r="DQ50" i="1"/>
  <c r="CL82" i="1"/>
  <c r="DQ61" i="1"/>
  <c r="CL93" i="1"/>
  <c r="DQ58" i="1"/>
  <c r="CL90" i="1"/>
  <c r="DQ38" i="1"/>
  <c r="CL70" i="1"/>
  <c r="DQ63" i="1"/>
  <c r="CL95" i="1"/>
  <c r="BF95" i="1" s="1"/>
  <c r="DQ49" i="1"/>
  <c r="CL81" i="1"/>
  <c r="DR54" i="1" l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BH78" i="1" s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BG89" i="1" s="1"/>
  <c r="BG88" i="1" s="1"/>
  <c r="BG87" i="1" s="1"/>
  <c r="BG86" i="1" s="1"/>
  <c r="BG85" i="1" s="1"/>
  <c r="BG84" i="1" s="1"/>
  <c r="BG83" i="1" s="1"/>
  <c r="BG82" i="1" s="1"/>
  <c r="BG81" i="1" s="1"/>
  <c r="BG80" i="1" s="1"/>
  <c r="BG79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P61" i="1"/>
  <c r="CK93" i="1"/>
  <c r="DP35" i="1"/>
  <c r="CK67" i="1"/>
  <c r="DP60" i="1"/>
  <c r="CK92" i="1"/>
  <c r="DO64" i="1"/>
  <c r="CJ96" i="1"/>
  <c r="DP49" i="1"/>
  <c r="CK81" i="1"/>
  <c r="DP63" i="1"/>
  <c r="CK95" i="1"/>
  <c r="BE95" i="1" s="1"/>
  <c r="DP50" i="1"/>
  <c r="CK82" i="1"/>
  <c r="DP47" i="1"/>
  <c r="CK79" i="1"/>
  <c r="DP45" i="1"/>
  <c r="CK77" i="1"/>
  <c r="CM75" i="1" l="1"/>
  <c r="DR43" i="1"/>
  <c r="DQ39" i="1"/>
  <c r="CL71" i="1"/>
  <c r="BH67" i="1"/>
  <c r="DT67" i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DR46" i="1"/>
  <c r="DQ53" i="1"/>
  <c r="CL85" i="1"/>
  <c r="DQ56" i="1"/>
  <c r="CL88" i="1"/>
  <c r="DQ37" i="1"/>
  <c r="CL69" i="1"/>
  <c r="CL86" i="1"/>
  <c r="DQ54" i="1"/>
  <c r="DO45" i="1"/>
  <c r="CJ77" i="1"/>
  <c r="DO60" i="1"/>
  <c r="CJ92" i="1"/>
  <c r="DO50" i="1"/>
  <c r="CJ82" i="1"/>
  <c r="DO63" i="1"/>
  <c r="CJ95" i="1"/>
  <c r="BD95" i="1" s="1"/>
  <c r="DO35" i="1"/>
  <c r="CJ67" i="1"/>
  <c r="DO38" i="1"/>
  <c r="CJ70" i="1"/>
  <c r="DO47" i="1"/>
  <c r="CJ79" i="1"/>
  <c r="DO49" i="1"/>
  <c r="CJ81" i="1"/>
  <c r="DN64" i="1"/>
  <c r="CI96" i="1"/>
  <c r="DO61" i="1"/>
  <c r="CJ93" i="1"/>
  <c r="DO58" i="1"/>
  <c r="CJ90" i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DP56" i="1"/>
  <c r="CK88" i="1"/>
  <c r="DP48" i="1"/>
  <c r="CK80" i="1"/>
  <c r="DP52" i="1"/>
  <c r="CK84" i="1"/>
  <c r="CK94" i="1"/>
  <c r="BE94" i="1" s="1"/>
  <c r="BE93" i="1" s="1"/>
  <c r="BE92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BF73" i="1" s="1"/>
  <c r="BF72" i="1" s="1"/>
  <c r="BF71" i="1" s="1"/>
  <c r="BF70" i="1" s="1"/>
  <c r="BF69" i="1" s="1"/>
  <c r="BF68" i="1" s="1"/>
  <c r="DN47" i="1"/>
  <c r="CI79" i="1"/>
  <c r="DN50" i="1"/>
  <c r="CI82" i="1"/>
  <c r="DN45" i="1"/>
  <c r="CI77" i="1"/>
  <c r="DN58" i="1"/>
  <c r="CI90" i="1"/>
  <c r="DN61" i="1"/>
  <c r="CI93" i="1"/>
  <c r="DM64" i="1"/>
  <c r="CH96" i="1"/>
  <c r="DN49" i="1"/>
  <c r="CI81" i="1"/>
  <c r="DN38" i="1"/>
  <c r="CI70" i="1"/>
  <c r="DN35" i="1"/>
  <c r="CI67" i="1"/>
  <c r="DN63" i="1"/>
  <c r="CI95" i="1"/>
  <c r="BC95" i="1" s="1"/>
  <c r="DN60" i="1"/>
  <c r="CI92" i="1"/>
  <c r="DO57" i="1" l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D86" i="1" s="1"/>
  <c r="BD85" i="1" s="1"/>
  <c r="BD84" i="1" s="1"/>
  <c r="BD83" i="1" s="1"/>
  <c r="BD82" i="1" s="1"/>
  <c r="BD81" i="1" s="1"/>
  <c r="BD80" i="1" s="1"/>
  <c r="BD79" i="1" s="1"/>
  <c r="BF67" i="1"/>
  <c r="DR67" i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CK73" i="1"/>
  <c r="DP41" i="1"/>
  <c r="CJ86" i="1"/>
  <c r="DO54" i="1"/>
  <c r="DO42" i="1"/>
  <c r="CJ74" i="1"/>
  <c r="DO39" i="1"/>
  <c r="CJ71" i="1"/>
  <c r="BE91" i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8" i="1"/>
  <c r="CJ80" i="1"/>
  <c r="DM45" i="1"/>
  <c r="CH77" i="1"/>
  <c r="DM38" i="1"/>
  <c r="CH70" i="1"/>
  <c r="DM60" i="1"/>
  <c r="CH92" i="1"/>
  <c r="DM63" i="1"/>
  <c r="CH95" i="1"/>
  <c r="BB95" i="1" s="1"/>
  <c r="DM35" i="1"/>
  <c r="CH67" i="1"/>
  <c r="DL64" i="1"/>
  <c r="CG96" i="1"/>
  <c r="DM49" i="1"/>
  <c r="CH81" i="1"/>
  <c r="DM61" i="1"/>
  <c r="CH93" i="1"/>
  <c r="DM58" i="1"/>
  <c r="CH90" i="1"/>
  <c r="DM50" i="1"/>
  <c r="CH82" i="1"/>
  <c r="DM47" i="1"/>
  <c r="CH79" i="1"/>
  <c r="CI80" i="1" l="1"/>
  <c r="DN48" i="1"/>
  <c r="DO41" i="1"/>
  <c r="CJ73" i="1"/>
  <c r="CI69" i="1"/>
  <c r="DN37" i="1"/>
  <c r="CI83" i="1"/>
  <c r="DN51" i="1"/>
  <c r="DO46" i="1"/>
  <c r="CJ78" i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61" i="1"/>
  <c r="CG93" i="1"/>
  <c r="DL35" i="1"/>
  <c r="CG67" i="1"/>
  <c r="DL60" i="1"/>
  <c r="CG92" i="1"/>
  <c r="DL50" i="1"/>
  <c r="CG82" i="1"/>
  <c r="DL58" i="1"/>
  <c r="CG90" i="1"/>
  <c r="DL49" i="1"/>
  <c r="CG81" i="1"/>
  <c r="DK64" i="1"/>
  <c r="CF96" i="1"/>
  <c r="DL63" i="1"/>
  <c r="CG95" i="1"/>
  <c r="BA95" i="1" s="1"/>
  <c r="DL38" i="1"/>
  <c r="CG70" i="1"/>
  <c r="DL45" i="1"/>
  <c r="CG77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BB86" i="1" s="1"/>
  <c r="BB85" i="1" s="1"/>
  <c r="BB84" i="1" s="1"/>
  <c r="BB83" i="1" s="1"/>
  <c r="BB82" i="1" s="1"/>
  <c r="BB81" i="1" s="1"/>
  <c r="BB80" i="1" s="1"/>
  <c r="BB79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BC78" i="1" s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CH83" i="1"/>
  <c r="DM51" i="1"/>
  <c r="DK35" i="1"/>
  <c r="CF67" i="1"/>
  <c r="DK61" i="1"/>
  <c r="CF93" i="1"/>
  <c r="DK63" i="1"/>
  <c r="CF95" i="1"/>
  <c r="AZ95" i="1" s="1"/>
  <c r="DJ64" i="1"/>
  <c r="CE96" i="1"/>
  <c r="DK49" i="1"/>
  <c r="CF81" i="1"/>
  <c r="DK50" i="1"/>
  <c r="CF82" i="1"/>
  <c r="DK45" i="1"/>
  <c r="CF77" i="1"/>
  <c r="DK38" i="1"/>
  <c r="CF70" i="1"/>
  <c r="DK58" i="1"/>
  <c r="CF90" i="1"/>
  <c r="DK60" i="1"/>
  <c r="CF92" i="1"/>
  <c r="DK47" i="1"/>
  <c r="CF79" i="1"/>
  <c r="BC67" i="1" l="1"/>
  <c r="DO67" i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CH78" i="1"/>
  <c r="DM46" i="1"/>
  <c r="DL53" i="1"/>
  <c r="CG85" i="1"/>
  <c r="DL37" i="1"/>
  <c r="CG69" i="1"/>
  <c r="DL44" i="1"/>
  <c r="CG76" i="1"/>
  <c r="CG94" i="1"/>
  <c r="BA94" i="1" s="1"/>
  <c r="BA93" i="1" s="1"/>
  <c r="BA92" i="1" s="1"/>
  <c r="DL62" i="1"/>
  <c r="DL52" i="1"/>
  <c r="CG84" i="1"/>
  <c r="DL57" i="1"/>
  <c r="CG89" i="1"/>
  <c r="BB78" i="1"/>
  <c r="BB77" i="1" s="1"/>
  <c r="BB76" i="1" s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45" i="1"/>
  <c r="CE77" i="1"/>
  <c r="DJ49" i="1"/>
  <c r="CE81" i="1"/>
  <c r="DJ63" i="1"/>
  <c r="CE95" i="1"/>
  <c r="AY95" i="1" s="1"/>
  <c r="DJ61" i="1"/>
  <c r="CE93" i="1"/>
  <c r="DJ35" i="1"/>
  <c r="CE67" i="1"/>
  <c r="DJ47" i="1"/>
  <c r="CE79" i="1"/>
  <c r="DJ60" i="1"/>
  <c r="CE92" i="1"/>
  <c r="DJ50" i="1"/>
  <c r="CE82" i="1"/>
  <c r="DI64" i="1"/>
  <c r="CD96" i="1"/>
  <c r="DK40" i="1" l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BA91" i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50" i="1"/>
  <c r="CD82" i="1"/>
  <c r="DI61" i="1"/>
  <c r="CD93" i="1"/>
  <c r="DI63" i="1"/>
  <c r="CD95" i="1"/>
  <c r="AX95" i="1" s="1"/>
  <c r="DI45" i="1"/>
  <c r="CD77" i="1"/>
  <c r="DI60" i="1"/>
  <c r="CD92" i="1"/>
  <c r="DI47" i="1"/>
  <c r="CD79" i="1"/>
  <c r="DI35" i="1"/>
  <c r="CD67" i="1"/>
  <c r="DI49" i="1"/>
  <c r="CD81" i="1"/>
  <c r="DI38" i="1"/>
  <c r="CD70" i="1"/>
  <c r="DI58" i="1"/>
  <c r="CD90" i="1"/>
  <c r="DJ44" i="1" l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AZ82" i="1" s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AY82" i="1" s="1"/>
  <c r="AY81" i="1" s="1"/>
  <c r="AY80" i="1" s="1"/>
  <c r="AY79" i="1" s="1"/>
  <c r="DJ62" i="1"/>
  <c r="DJ39" i="1"/>
  <c r="CE71" i="1"/>
  <c r="DJ40" i="1"/>
  <c r="CE72" i="1"/>
  <c r="DH58" i="1"/>
  <c r="CC90" i="1"/>
  <c r="DH47" i="1"/>
  <c r="CC79" i="1"/>
  <c r="DH45" i="1"/>
  <c r="CC77" i="1"/>
  <c r="DH63" i="1"/>
  <c r="CC95" i="1"/>
  <c r="AW95" i="1" s="1"/>
  <c r="DH38" i="1"/>
  <c r="CC70" i="1"/>
  <c r="DH49" i="1"/>
  <c r="CC81" i="1"/>
  <c r="DH35" i="1"/>
  <c r="CC67" i="1"/>
  <c r="DH60" i="1"/>
  <c r="CC92" i="1"/>
  <c r="DH61" i="1"/>
  <c r="CC93" i="1"/>
  <c r="DH50" i="1"/>
  <c r="CC82" i="1"/>
  <c r="DG64" i="1"/>
  <c r="CB96" i="1"/>
  <c r="CD94" i="1" l="1"/>
  <c r="AX94" i="1" s="1"/>
  <c r="AX93" i="1" s="1"/>
  <c r="AX92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DI57" i="1"/>
  <c r="CD89" i="1"/>
  <c r="CD80" i="1"/>
  <c r="DI48" i="1"/>
  <c r="DI54" i="1"/>
  <c r="CD86" i="1"/>
  <c r="AY78" i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61" i="1"/>
  <c r="CB93" i="1"/>
  <c r="DG60" i="1"/>
  <c r="CB92" i="1"/>
  <c r="DG49" i="1"/>
  <c r="CB81" i="1"/>
  <c r="DG45" i="1"/>
  <c r="CB77" i="1"/>
  <c r="DG58" i="1"/>
  <c r="CB90" i="1"/>
  <c r="DG50" i="1"/>
  <c r="CB82" i="1"/>
  <c r="DG35" i="1"/>
  <c r="CB67" i="1"/>
  <c r="DG38" i="1"/>
  <c r="CB70" i="1"/>
  <c r="DG63" i="1"/>
  <c r="CB95" i="1"/>
  <c r="AV95" i="1" s="1"/>
  <c r="DG47" i="1"/>
  <c r="CB79" i="1"/>
  <c r="DI43" i="1" l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AW93" i="1" s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35" i="1"/>
  <c r="CA67" i="1"/>
  <c r="DF50" i="1"/>
  <c r="CA82" i="1"/>
  <c r="DF58" i="1"/>
  <c r="CA90" i="1"/>
  <c r="DF60" i="1"/>
  <c r="CA92" i="1"/>
  <c r="DF61" i="1"/>
  <c r="CA93" i="1"/>
  <c r="DF38" i="1"/>
  <c r="CA70" i="1"/>
  <c r="DF45" i="1"/>
  <c r="CA77" i="1"/>
  <c r="DF49" i="1"/>
  <c r="CA81" i="1"/>
  <c r="DE64" i="1"/>
  <c r="BZ96" i="1"/>
  <c r="CB71" i="1" l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AW78" i="1" s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G62" i="1"/>
  <c r="CB94" i="1"/>
  <c r="AV94" i="1" s="1"/>
  <c r="AV93" i="1" s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60" i="1"/>
  <c r="BZ92" i="1"/>
  <c r="DE58" i="1"/>
  <c r="BZ90" i="1"/>
  <c r="DE47" i="1"/>
  <c r="BZ79" i="1"/>
  <c r="DE49" i="1"/>
  <c r="BZ81" i="1"/>
  <c r="DE45" i="1"/>
  <c r="BZ77" i="1"/>
  <c r="DE61" i="1"/>
  <c r="BZ93" i="1"/>
  <c r="DE50" i="1"/>
  <c r="BZ82" i="1"/>
  <c r="DE35" i="1"/>
  <c r="BZ67" i="1"/>
  <c r="DE63" i="1"/>
  <c r="BZ95" i="1"/>
  <c r="AT95" i="1" s="1"/>
  <c r="AW67" i="1" l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AU93" i="1" s="1"/>
  <c r="AU92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AV78" i="1" s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DF42" i="1"/>
  <c r="CA74" i="1"/>
  <c r="CA85" i="1"/>
  <c r="DF53" i="1"/>
  <c r="DF36" i="1"/>
  <c r="CA68" i="1"/>
  <c r="CA80" i="1"/>
  <c r="DF48" i="1"/>
  <c r="DD35" i="1"/>
  <c r="BY67" i="1"/>
  <c r="DD61" i="1"/>
  <c r="BY93" i="1"/>
  <c r="DD45" i="1"/>
  <c r="BY77" i="1"/>
  <c r="DD47" i="1"/>
  <c r="BY79" i="1"/>
  <c r="DD38" i="1"/>
  <c r="BY70" i="1"/>
  <c r="DD63" i="1"/>
  <c r="BY95" i="1"/>
  <c r="AS95" i="1" s="1"/>
  <c r="DD50" i="1"/>
  <c r="BY82" i="1"/>
  <c r="DD49" i="1"/>
  <c r="BY81" i="1"/>
  <c r="DD58" i="1"/>
  <c r="BY90" i="1"/>
  <c r="DD60" i="1"/>
  <c r="BY92" i="1"/>
  <c r="DC64" i="1"/>
  <c r="BX96" i="1"/>
  <c r="AV67" i="1" l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AT82" i="1" s="1"/>
  <c r="AT81" i="1" s="1"/>
  <c r="AT80" i="1" s="1"/>
  <c r="AT79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45" i="1"/>
  <c r="BX77" i="1"/>
  <c r="DC61" i="1"/>
  <c r="BX93" i="1"/>
  <c r="DC63" i="1"/>
  <c r="BX95" i="1"/>
  <c r="AR95" i="1" s="1"/>
  <c r="DC38" i="1"/>
  <c r="BX70" i="1"/>
  <c r="DC47" i="1"/>
  <c r="BX79" i="1"/>
  <c r="DB64" i="1"/>
  <c r="BW96" i="1"/>
  <c r="DC60" i="1"/>
  <c r="BX92" i="1"/>
  <c r="DC50" i="1"/>
  <c r="BX82" i="1"/>
  <c r="DC49" i="1"/>
  <c r="BX81" i="1"/>
  <c r="DC35" i="1"/>
  <c r="BX67" i="1"/>
  <c r="DD39" i="1" l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AS82" i="1" s="1"/>
  <c r="AS81" i="1" s="1"/>
  <c r="AS80" i="1" s="1"/>
  <c r="AS79" i="1" s="1"/>
  <c r="DD44" i="1"/>
  <c r="BY76" i="1"/>
  <c r="DD42" i="1"/>
  <c r="BY74" i="1"/>
  <c r="DB50" i="1"/>
  <c r="BW82" i="1"/>
  <c r="DB47" i="1"/>
  <c r="BW79" i="1"/>
  <c r="DB38" i="1"/>
  <c r="BW70" i="1"/>
  <c r="DB63" i="1"/>
  <c r="BW95" i="1"/>
  <c r="AQ95" i="1" s="1"/>
  <c r="DB61" i="1"/>
  <c r="BW93" i="1"/>
  <c r="DB58" i="1"/>
  <c r="BW90" i="1"/>
  <c r="DB35" i="1"/>
  <c r="BW67" i="1"/>
  <c r="DB49" i="1"/>
  <c r="BW81" i="1"/>
  <c r="DB60" i="1"/>
  <c r="BW92" i="1"/>
  <c r="DA64" i="1"/>
  <c r="BV96" i="1"/>
  <c r="DB45" i="1"/>
  <c r="BW77" i="1"/>
  <c r="AT67" i="1" l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AS78" i="1" s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60" i="1"/>
  <c r="BV92" i="1"/>
  <c r="DA49" i="1"/>
  <c r="BV81" i="1"/>
  <c r="DA58" i="1"/>
  <c r="BV90" i="1"/>
  <c r="DA63" i="1"/>
  <c r="BV95" i="1"/>
  <c r="AP95" i="1" s="1"/>
  <c r="DA47" i="1"/>
  <c r="BV79" i="1"/>
  <c r="DA50" i="1"/>
  <c r="BV82" i="1"/>
  <c r="DA45" i="1"/>
  <c r="BV77" i="1"/>
  <c r="CZ64" i="1"/>
  <c r="BT96" i="1" s="1"/>
  <c r="BU96" i="1"/>
  <c r="DA35" i="1"/>
  <c r="BV67" i="1"/>
  <c r="DA61" i="1"/>
  <c r="BV93" i="1"/>
  <c r="DA38" i="1"/>
  <c r="BV70" i="1"/>
  <c r="AS67" i="1" l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AQ82" i="1" s="1"/>
  <c r="AQ81" i="1" s="1"/>
  <c r="AQ80" i="1" s="1"/>
  <c r="AQ79" i="1" s="1"/>
  <c r="BX73" i="1"/>
  <c r="DC41" i="1"/>
  <c r="CZ50" i="1"/>
  <c r="BT82" i="1" s="1"/>
  <c r="BU82" i="1"/>
  <c r="CZ47" i="1"/>
  <c r="BT79" i="1" s="1"/>
  <c r="BU79" i="1"/>
  <c r="CZ58" i="1"/>
  <c r="BT90" i="1" s="1"/>
  <c r="BU90" i="1"/>
  <c r="CZ49" i="1"/>
  <c r="BT81" i="1" s="1"/>
  <c r="BU81" i="1"/>
  <c r="CZ61" i="1"/>
  <c r="BT93" i="1" s="1"/>
  <c r="BU93" i="1"/>
  <c r="CZ35" i="1"/>
  <c r="BT67" i="1" s="1"/>
  <c r="BU67" i="1"/>
  <c r="CZ45" i="1"/>
  <c r="BT77" i="1" s="1"/>
  <c r="BU77" i="1"/>
  <c r="CZ38" i="1"/>
  <c r="BT70" i="1" s="1"/>
  <c r="BU70" i="1"/>
  <c r="CZ63" i="1"/>
  <c r="BT95" i="1" s="1"/>
  <c r="AN95" i="1" s="1"/>
  <c r="BU95" i="1"/>
  <c r="AO95" i="1" s="1"/>
  <c r="CZ60" i="1"/>
  <c r="BT92" i="1" s="1"/>
  <c r="BU92" i="1"/>
  <c r="BV68" i="1" l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AP89" i="1" s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AQ67" i="1" l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AP78" i="1" s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AN91" i="1" s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AP67" i="1" l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N67" i="1" l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AO67" i="1"/>
  <c r="DA67" i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<sst xmlns="http://schemas.openxmlformats.org/spreadsheetml/2006/main" count="28" uniqueCount="25">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</sst>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03-46D6-9C5E-9ACABDF9F6EA}"/>
            </c:ext>
          </c:extLst>
        </c:ser>
        <c:ser>
          <c:idx val="0"/>
          <c:order val="1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0B-4686-8976-ECE83FEC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66888"/>
        <c:axId val="520074336"/>
      </c:scatterChart>
      <c:valAx>
        <c:axId val="52006688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835186692721705"/>
              <c:y val="0.91817872626905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0074336"/>
        <c:crosses val="autoZero"/>
        <c:crossBetween val="midCat"/>
      </c:valAx>
      <c:valAx>
        <c:axId val="52007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/>
                  <a:t>Т,</a:t>
                </a:r>
                <a:r>
                  <a:rPr lang="ru-RU" b="1" baseline="0"/>
                  <a:t> С</a:t>
                </a:r>
                <a:endParaRPr lang="ru-RU" b="1"/>
              </a:p>
            </c:rich>
          </c:tx>
          <c:layout>
            <c:manualLayout>
              <c:xMode val="edge"/>
              <c:yMode val="edge"/>
              <c:x val="1.2488848949338705E-2"/>
              <c:y val="9.51909587567441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006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1-D</a:t>
            </a:r>
            <a:endParaRPr lang="ru-RU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1864297368234371"/>
              <c:y val="0.91739277208185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Т,</a:t>
                </a:r>
                <a:r>
                  <a:rPr lang="ru-RU" b="1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С</a:t>
                </a:r>
                <a:endParaRPr lang="ru-RU" b="1">
                  <a:solidFill>
                    <a:schemeClr val="tx1">
                      <a:lumMod val="95000"/>
                      <a:lumOff val="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1.5765765765765764E-2"/>
              <c:y val="8.8052608849002428E-2"/>
            </c:manualLayout>
          </c:layout>
          <c:overlay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612320</xdr:colOff>
      <xdr:row>5</xdr:row>
      <xdr:rowOff>61231</xdr:rowOff>
    </xdr:from>
    <xdr:to>
      <xdr:col>48</xdr:col>
      <xdr:colOff>421820</xdr:colOff>
      <xdr:row>26</xdr:row>
      <xdr:rowOff>179613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250371</xdr:colOff>
      <xdr:row>5</xdr:row>
      <xdr:rowOff>32657</xdr:rowOff>
    </xdr:from>
    <xdr:to>
      <xdr:col>58</xdr:col>
      <xdr:colOff>402771</xdr:colOff>
      <xdr:row>26</xdr:row>
      <xdr:rowOff>112938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DE45D37-BA95-40D4-8E6B-81D867E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EB96"/>
  <sheetViews>
    <sheetView tabSelected="1" zoomScale="70" zoomScaleNormal="70" workbookViewId="0">
      <selection activeCell="E11" sqref="E11"/>
    </sheetView>
  </sheetViews>
  <sheetFormatPr defaultRowHeight="15" x14ac:dyDescent="0.25"/>
  <cols>
    <col min="39" max="39" width="11.7109375" bestFit="1" customWidth="1"/>
    <col min="71" max="71" width="11.7109375" bestFit="1" customWidth="1"/>
  </cols>
  <sheetData>
    <row r="1" spans="2:37" x14ac:dyDescent="0.25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2:37" x14ac:dyDescent="0.25">
      <c r="B2" s="3" t="s">
        <v>0</v>
      </c>
      <c r="C2" s="3">
        <v>0.1</v>
      </c>
      <c r="F2" s="9"/>
      <c r="G2" s="9">
        <v>1</v>
      </c>
      <c r="H2" s="9">
        <v>2</v>
      </c>
      <c r="I2" s="9">
        <v>3</v>
      </c>
      <c r="J2" s="9">
        <v>4</v>
      </c>
      <c r="K2" s="9">
        <v>5</v>
      </c>
      <c r="L2" s="9">
        <v>6</v>
      </c>
      <c r="M2" s="9">
        <v>7</v>
      </c>
      <c r="N2" s="9">
        <v>8</v>
      </c>
      <c r="O2" s="9">
        <v>9</v>
      </c>
      <c r="P2" s="9">
        <v>10</v>
      </c>
      <c r="Q2" s="9">
        <v>11</v>
      </c>
      <c r="R2" s="9">
        <v>12</v>
      </c>
      <c r="S2" s="9">
        <v>13</v>
      </c>
      <c r="T2" s="9">
        <v>14</v>
      </c>
      <c r="U2" s="9">
        <v>15</v>
      </c>
      <c r="V2" s="9">
        <v>16</v>
      </c>
      <c r="W2" s="9">
        <v>17</v>
      </c>
      <c r="X2" s="9">
        <v>18</v>
      </c>
      <c r="Y2" s="9">
        <v>19</v>
      </c>
      <c r="Z2" s="9">
        <v>20</v>
      </c>
      <c r="AA2" s="9">
        <v>21</v>
      </c>
      <c r="AB2" s="9">
        <v>22</v>
      </c>
      <c r="AC2" s="9">
        <v>23</v>
      </c>
      <c r="AD2" s="9">
        <v>24</v>
      </c>
      <c r="AE2" s="9">
        <v>25</v>
      </c>
      <c r="AF2" s="9">
        <v>26</v>
      </c>
      <c r="AG2" s="9">
        <v>27</v>
      </c>
      <c r="AH2" s="9">
        <v>28</v>
      </c>
      <c r="AI2" s="9">
        <v>29</v>
      </c>
      <c r="AJ2" s="9">
        <v>30</v>
      </c>
      <c r="AK2" s="9"/>
    </row>
    <row r="3" spans="2:37" x14ac:dyDescent="0.25">
      <c r="B3" s="3" t="s">
        <v>1</v>
      </c>
      <c r="C3" s="3">
        <v>0.1</v>
      </c>
      <c r="F3" s="9">
        <f t="shared" ref="F3:F29" si="1">F4+$C$5</f>
        <v>0.10000000000000007</v>
      </c>
      <c r="G3" s="10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10">
        <f>$D$14</f>
        <v>100</v>
      </c>
      <c r="AK3" s="9">
        <v>30</v>
      </c>
    </row>
    <row r="4" spans="2:37" x14ac:dyDescent="0.25">
      <c r="B4" s="3" t="s">
        <v>2</v>
      </c>
      <c r="C4" s="3">
        <f>C2/29</f>
        <v>3.4482758620689659E-3</v>
      </c>
      <c r="F4" s="9">
        <f t="shared" si="1"/>
        <v>9.6551724137931103E-2</v>
      </c>
      <c r="G4" s="10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10">
        <f t="shared" ref="AJ4:AJ32" si="3">$D$14</f>
        <v>100</v>
      </c>
      <c r="AK4" s="9">
        <v>29</v>
      </c>
    </row>
    <row r="5" spans="2:37" x14ac:dyDescent="0.25">
      <c r="B5" s="3" t="s">
        <v>3</v>
      </c>
      <c r="C5" s="3">
        <f>C3/29</f>
        <v>3.4482758620689659E-3</v>
      </c>
      <c r="F5" s="9">
        <f t="shared" si="1"/>
        <v>9.310344827586213E-2</v>
      </c>
      <c r="G5" s="10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10">
        <f t="shared" si="3"/>
        <v>100</v>
      </c>
      <c r="AK5" s="9">
        <v>28</v>
      </c>
    </row>
    <row r="6" spans="2:37" x14ac:dyDescent="0.25">
      <c r="B6" s="3" t="s">
        <v>4</v>
      </c>
      <c r="C6" s="3">
        <v>200</v>
      </c>
      <c r="D6">
        <v>201</v>
      </c>
      <c r="F6" s="9">
        <f t="shared" si="1"/>
        <v>8.9655172413793158E-2</v>
      </c>
      <c r="G6" s="10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10">
        <f t="shared" si="3"/>
        <v>100</v>
      </c>
      <c r="AK6" s="9">
        <v>27</v>
      </c>
    </row>
    <row r="7" spans="2:37" x14ac:dyDescent="0.25">
      <c r="B7" s="3" t="s">
        <v>5</v>
      </c>
      <c r="C7" s="3">
        <v>1</v>
      </c>
      <c r="F7" s="9">
        <f t="shared" si="1"/>
        <v>8.6206896551724185E-2</v>
      </c>
      <c r="G7" s="10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10">
        <f t="shared" si="3"/>
        <v>100</v>
      </c>
      <c r="AK7" s="9">
        <v>26</v>
      </c>
    </row>
    <row r="8" spans="2:37" x14ac:dyDescent="0.25">
      <c r="B8" s="3"/>
      <c r="C8" s="3"/>
      <c r="F8" s="9">
        <f t="shared" si="1"/>
        <v>8.2758620689655213E-2</v>
      </c>
      <c r="G8" s="10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10">
        <f t="shared" si="3"/>
        <v>100</v>
      </c>
      <c r="AK8" s="9">
        <v>25</v>
      </c>
    </row>
    <row r="9" spans="2:37" x14ac:dyDescent="0.25">
      <c r="B9" s="3" t="s">
        <v>6</v>
      </c>
      <c r="C9" s="3">
        <v>460</v>
      </c>
      <c r="F9" s="9">
        <f t="shared" si="1"/>
        <v>7.931034482758624E-2</v>
      </c>
      <c r="G9" s="10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10">
        <f t="shared" si="3"/>
        <v>100</v>
      </c>
      <c r="AK9" s="9">
        <v>24</v>
      </c>
    </row>
    <row r="10" spans="2:37" x14ac:dyDescent="0.25">
      <c r="B10" s="3" t="s">
        <v>7</v>
      </c>
      <c r="C10" s="3">
        <v>7800</v>
      </c>
      <c r="F10" s="9">
        <f t="shared" si="1"/>
        <v>7.5862068965517268E-2</v>
      </c>
      <c r="G10" s="10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10">
        <f t="shared" si="3"/>
        <v>100</v>
      </c>
      <c r="AK10" s="9">
        <v>23</v>
      </c>
    </row>
    <row r="11" spans="2:37" x14ac:dyDescent="0.25">
      <c r="B11" s="3" t="s">
        <v>8</v>
      </c>
      <c r="C11" s="3">
        <v>46</v>
      </c>
      <c r="F11" s="9">
        <f t="shared" si="1"/>
        <v>7.2413793103448296E-2</v>
      </c>
      <c r="G11" s="10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10">
        <f t="shared" si="3"/>
        <v>100</v>
      </c>
      <c r="AK11" s="9">
        <v>22</v>
      </c>
    </row>
    <row r="12" spans="2:37" x14ac:dyDescent="0.25">
      <c r="F12" s="9">
        <f t="shared" si="1"/>
        <v>6.8965517241379323E-2</v>
      </c>
      <c r="G12" s="10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10">
        <f t="shared" si="3"/>
        <v>100</v>
      </c>
      <c r="AK12" s="9">
        <v>21</v>
      </c>
    </row>
    <row r="13" spans="2:37" x14ac:dyDescent="0.25">
      <c r="B13" s="4" t="s">
        <v>9</v>
      </c>
      <c r="C13" s="4" t="s">
        <v>10</v>
      </c>
      <c r="D13" s="4" t="s">
        <v>11</v>
      </c>
      <c r="F13" s="9">
        <f t="shared" si="1"/>
        <v>6.5517241379310351E-2</v>
      </c>
      <c r="G13" s="10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10">
        <f t="shared" si="3"/>
        <v>100</v>
      </c>
      <c r="AK13" s="9">
        <v>20</v>
      </c>
    </row>
    <row r="14" spans="2:37" x14ac:dyDescent="0.25">
      <c r="B14" s="4"/>
      <c r="C14" s="4">
        <v>300</v>
      </c>
      <c r="D14" s="4">
        <v>100</v>
      </c>
      <c r="F14" s="9">
        <f t="shared" si="1"/>
        <v>6.2068965517241385E-2</v>
      </c>
      <c r="G14" s="10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10">
        <f t="shared" si="3"/>
        <v>100</v>
      </c>
      <c r="AK14" s="9">
        <v>19</v>
      </c>
    </row>
    <row r="15" spans="2:37" x14ac:dyDescent="0.25">
      <c r="F15" s="9">
        <f t="shared" si="1"/>
        <v>5.862068965517242E-2</v>
      </c>
      <c r="G15" s="10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10">
        <f t="shared" si="3"/>
        <v>100</v>
      </c>
      <c r="AK15" s="9">
        <v>18</v>
      </c>
    </row>
    <row r="16" spans="2:37" x14ac:dyDescent="0.25">
      <c r="B16" s="6" t="s">
        <v>12</v>
      </c>
      <c r="C16" s="6" t="s">
        <v>13</v>
      </c>
      <c r="D16" s="6">
        <f>C11/C4^2</f>
        <v>3868599.9999999991</v>
      </c>
      <c r="F16" s="9">
        <f t="shared" si="1"/>
        <v>5.5172413793103454E-2</v>
      </c>
      <c r="G16" s="10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10">
        <f t="shared" si="3"/>
        <v>100</v>
      </c>
      <c r="AK16" s="9">
        <v>17</v>
      </c>
    </row>
    <row r="17" spans="2:37" x14ac:dyDescent="0.25">
      <c r="B17" s="6"/>
      <c r="C17" s="6" t="s">
        <v>14</v>
      </c>
      <c r="D17" s="6">
        <f>2*C11/C4^2+C10*C9/C7</f>
        <v>11325199.999999998</v>
      </c>
      <c r="F17" s="9">
        <f t="shared" si="1"/>
        <v>5.1724137931034489E-2</v>
      </c>
      <c r="G17" s="10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10">
        <f t="shared" si="3"/>
        <v>100</v>
      </c>
      <c r="AK17" s="9">
        <v>16</v>
      </c>
    </row>
    <row r="18" spans="2:37" x14ac:dyDescent="0.25">
      <c r="B18" s="6"/>
      <c r="C18" s="6" t="s">
        <v>15</v>
      </c>
      <c r="D18" s="6">
        <f>D16</f>
        <v>3868599.9999999991</v>
      </c>
      <c r="F18" s="9">
        <f t="shared" si="1"/>
        <v>4.8275862068965524E-2</v>
      </c>
      <c r="G18" s="10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10">
        <f t="shared" si="3"/>
        <v>100</v>
      </c>
      <c r="AK18" s="9">
        <v>15</v>
      </c>
    </row>
    <row r="19" spans="2:37" x14ac:dyDescent="0.25">
      <c r="F19" s="9">
        <f t="shared" si="1"/>
        <v>4.4827586206896558E-2</v>
      </c>
      <c r="G19" s="10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10">
        <f t="shared" si="3"/>
        <v>100</v>
      </c>
      <c r="AK19" s="9">
        <v>14</v>
      </c>
    </row>
    <row r="20" spans="2:37" x14ac:dyDescent="0.25">
      <c r="B20" s="8" t="s">
        <v>16</v>
      </c>
      <c r="C20" s="8" t="s">
        <v>13</v>
      </c>
      <c r="D20" s="8">
        <f>C11/C5^2</f>
        <v>3868599.9999999991</v>
      </c>
      <c r="F20" s="9">
        <f t="shared" si="1"/>
        <v>4.1379310344827593E-2</v>
      </c>
      <c r="G20" s="10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10">
        <f t="shared" si="3"/>
        <v>100</v>
      </c>
      <c r="AK20" s="9">
        <v>13</v>
      </c>
    </row>
    <row r="21" spans="2:37" x14ac:dyDescent="0.25">
      <c r="B21" s="8"/>
      <c r="C21" s="8" t="s">
        <v>14</v>
      </c>
      <c r="D21" s="8">
        <f>2*C11/C5^2+C10*C9/C7</f>
        <v>11325199.999999998</v>
      </c>
      <c r="F21" s="9">
        <f t="shared" si="1"/>
        <v>3.7931034482758627E-2</v>
      </c>
      <c r="G21" s="10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10">
        <f t="shared" si="3"/>
        <v>100</v>
      </c>
      <c r="AK21" s="9">
        <v>12</v>
      </c>
    </row>
    <row r="22" spans="2:37" x14ac:dyDescent="0.25">
      <c r="B22" s="8"/>
      <c r="C22" s="8" t="s">
        <v>15</v>
      </c>
      <c r="D22" s="8">
        <f>D20</f>
        <v>3868599.9999999991</v>
      </c>
      <c r="F22" s="9">
        <f t="shared" si="1"/>
        <v>3.4482758620689662E-2</v>
      </c>
      <c r="G22" s="10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10">
        <f t="shared" si="3"/>
        <v>100</v>
      </c>
      <c r="AK22" s="9">
        <v>11</v>
      </c>
    </row>
    <row r="23" spans="2:37" x14ac:dyDescent="0.25">
      <c r="F23" s="9">
        <f t="shared" si="1"/>
        <v>3.1034482758620693E-2</v>
      </c>
      <c r="G23" s="10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10">
        <f t="shared" si="3"/>
        <v>100</v>
      </c>
      <c r="AK23" s="9">
        <v>10</v>
      </c>
    </row>
    <row r="24" spans="2:37" x14ac:dyDescent="0.25">
      <c r="F24" s="9">
        <f t="shared" si="1"/>
        <v>2.7586206896551727E-2</v>
      </c>
      <c r="G24" s="10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10">
        <f t="shared" si="3"/>
        <v>100</v>
      </c>
      <c r="AK24" s="9">
        <v>9</v>
      </c>
    </row>
    <row r="25" spans="2:37" x14ac:dyDescent="0.25">
      <c r="F25" s="9">
        <f t="shared" si="1"/>
        <v>2.4137931034482762E-2</v>
      </c>
      <c r="G25" s="10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10">
        <f t="shared" si="3"/>
        <v>100</v>
      </c>
      <c r="AK25" s="9">
        <v>8</v>
      </c>
    </row>
    <row r="26" spans="2:37" x14ac:dyDescent="0.25">
      <c r="F26" s="9">
        <f t="shared" si="1"/>
        <v>2.0689655172413796E-2</v>
      </c>
      <c r="G26" s="10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10">
        <f t="shared" si="3"/>
        <v>100</v>
      </c>
      <c r="AK26" s="9">
        <v>7</v>
      </c>
    </row>
    <row r="27" spans="2:37" x14ac:dyDescent="0.25">
      <c r="F27" s="9">
        <f t="shared" si="1"/>
        <v>1.7241379310344831E-2</v>
      </c>
      <c r="G27" s="10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10">
        <f t="shared" si="3"/>
        <v>100</v>
      </c>
      <c r="AK27" s="9">
        <v>6</v>
      </c>
    </row>
    <row r="28" spans="2:37" x14ac:dyDescent="0.25">
      <c r="F28" s="9">
        <f t="shared" si="1"/>
        <v>1.3793103448275864E-2</v>
      </c>
      <c r="G28" s="10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10">
        <f t="shared" si="3"/>
        <v>100</v>
      </c>
      <c r="AK28" s="9">
        <v>5</v>
      </c>
    </row>
    <row r="29" spans="2:37" x14ac:dyDescent="0.25">
      <c r="F29" s="9">
        <f t="shared" si="1"/>
        <v>1.0344827586206898E-2</v>
      </c>
      <c r="G29" s="10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10">
        <f t="shared" si="3"/>
        <v>100</v>
      </c>
      <c r="AK29" s="9">
        <v>4</v>
      </c>
    </row>
    <row r="30" spans="2:37" x14ac:dyDescent="0.25">
      <c r="F30" s="9">
        <f>F31+$C$5</f>
        <v>6.8965517241379318E-3</v>
      </c>
      <c r="G30" s="10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10">
        <f t="shared" si="3"/>
        <v>100</v>
      </c>
      <c r="AK30" s="9">
        <v>3</v>
      </c>
    </row>
    <row r="31" spans="2:37" x14ac:dyDescent="0.25">
      <c r="F31" s="9">
        <f>F32+$C$5</f>
        <v>3.4482758620689659E-3</v>
      </c>
      <c r="G31" s="10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10">
        <f t="shared" si="3"/>
        <v>100</v>
      </c>
      <c r="AK31" s="9">
        <v>2</v>
      </c>
    </row>
    <row r="32" spans="2:37" x14ac:dyDescent="0.25">
      <c r="F32" s="9">
        <v>0</v>
      </c>
      <c r="G32" s="10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10">
        <f t="shared" si="3"/>
        <v>100</v>
      </c>
      <c r="AK32" s="9">
        <v>1</v>
      </c>
    </row>
    <row r="34" spans="4:132" x14ac:dyDescent="0.25">
      <c r="D34" s="11" t="s">
        <v>17</v>
      </c>
      <c r="E34" s="12"/>
      <c r="F34" s="7"/>
      <c r="G34" s="7">
        <v>30</v>
      </c>
      <c r="H34" s="7">
        <v>29</v>
      </c>
      <c r="I34" s="7">
        <v>28</v>
      </c>
      <c r="J34" s="7">
        <v>27</v>
      </c>
      <c r="K34" s="7">
        <v>26</v>
      </c>
      <c r="L34" s="7">
        <v>25</v>
      </c>
      <c r="M34" s="7">
        <v>24</v>
      </c>
      <c r="N34" s="7">
        <v>23</v>
      </c>
      <c r="O34" s="7">
        <v>22</v>
      </c>
      <c r="P34" s="7">
        <v>21</v>
      </c>
      <c r="Q34" s="7">
        <v>20</v>
      </c>
      <c r="R34" s="7">
        <v>19</v>
      </c>
      <c r="S34" s="7">
        <v>18</v>
      </c>
      <c r="T34" s="7">
        <v>17</v>
      </c>
      <c r="U34" s="7">
        <v>16</v>
      </c>
      <c r="V34" s="7">
        <v>15</v>
      </c>
      <c r="W34" s="7">
        <v>14</v>
      </c>
      <c r="X34" s="7">
        <v>13</v>
      </c>
      <c r="Y34" s="7">
        <v>12</v>
      </c>
      <c r="Z34" s="7">
        <v>11</v>
      </c>
      <c r="AA34" s="7">
        <v>10</v>
      </c>
      <c r="AB34" s="7">
        <v>9</v>
      </c>
      <c r="AC34" s="7">
        <v>8</v>
      </c>
      <c r="AD34" s="7">
        <v>7</v>
      </c>
      <c r="AE34" s="7">
        <v>6</v>
      </c>
      <c r="AF34" s="7">
        <v>5</v>
      </c>
      <c r="AG34" s="7">
        <v>4</v>
      </c>
      <c r="AH34" s="7">
        <v>3</v>
      </c>
      <c r="AI34" s="7">
        <v>2</v>
      </c>
      <c r="AJ34" s="7">
        <v>1</v>
      </c>
      <c r="AK34" s="11" t="s">
        <v>19</v>
      </c>
      <c r="AL34" s="11"/>
      <c r="AM34" s="7">
        <v>30</v>
      </c>
      <c r="AN34" s="7">
        <v>29</v>
      </c>
      <c r="AO34" s="7">
        <v>28</v>
      </c>
      <c r="AP34" s="7">
        <v>27</v>
      </c>
      <c r="AQ34" s="7">
        <v>26</v>
      </c>
      <c r="AR34" s="7">
        <v>25</v>
      </c>
      <c r="AS34" s="7">
        <v>24</v>
      </c>
      <c r="AT34" s="7">
        <v>23</v>
      </c>
      <c r="AU34" s="7">
        <v>22</v>
      </c>
      <c r="AV34" s="7">
        <v>21</v>
      </c>
      <c r="AW34" s="7">
        <v>20</v>
      </c>
      <c r="AX34" s="7">
        <v>19</v>
      </c>
      <c r="AY34" s="7">
        <v>18</v>
      </c>
      <c r="AZ34" s="7">
        <v>17</v>
      </c>
      <c r="BA34" s="7">
        <v>16</v>
      </c>
      <c r="BB34" s="7">
        <v>15</v>
      </c>
      <c r="BC34" s="7">
        <v>14</v>
      </c>
      <c r="BD34" s="7">
        <v>13</v>
      </c>
      <c r="BE34" s="7">
        <v>12</v>
      </c>
      <c r="BF34" s="7">
        <v>11</v>
      </c>
      <c r="BG34" s="7">
        <v>10</v>
      </c>
      <c r="BH34" s="7">
        <v>9</v>
      </c>
      <c r="BI34" s="7">
        <v>8</v>
      </c>
      <c r="BJ34" s="7">
        <v>7</v>
      </c>
      <c r="BK34" s="7">
        <v>6</v>
      </c>
      <c r="BL34" s="7">
        <v>5</v>
      </c>
      <c r="BM34" s="7">
        <v>4</v>
      </c>
      <c r="BN34" s="7">
        <v>3</v>
      </c>
      <c r="BO34" s="7">
        <v>2</v>
      </c>
      <c r="BP34" s="7">
        <v>1</v>
      </c>
      <c r="BQ34" s="11" t="s">
        <v>21</v>
      </c>
      <c r="BR34" s="11"/>
      <c r="BS34" s="7">
        <v>30</v>
      </c>
      <c r="BT34" s="7">
        <v>29</v>
      </c>
      <c r="BU34" s="7">
        <v>28</v>
      </c>
      <c r="BV34" s="7">
        <v>27</v>
      </c>
      <c r="BW34" s="7">
        <v>26</v>
      </c>
      <c r="BX34" s="7">
        <v>25</v>
      </c>
      <c r="BY34" s="7">
        <v>24</v>
      </c>
      <c r="BZ34" s="7">
        <v>23</v>
      </c>
      <c r="CA34" s="7">
        <v>22</v>
      </c>
      <c r="CB34" s="7">
        <v>21</v>
      </c>
      <c r="CC34" s="7">
        <v>20</v>
      </c>
      <c r="CD34" s="7">
        <v>19</v>
      </c>
      <c r="CE34" s="7">
        <v>18</v>
      </c>
      <c r="CF34" s="7">
        <v>17</v>
      </c>
      <c r="CG34" s="7">
        <v>16</v>
      </c>
      <c r="CH34" s="7">
        <v>15</v>
      </c>
      <c r="CI34" s="7">
        <v>14</v>
      </c>
      <c r="CJ34" s="7">
        <v>13</v>
      </c>
      <c r="CK34" s="7">
        <v>12</v>
      </c>
      <c r="CL34" s="7">
        <v>11</v>
      </c>
      <c r="CM34" s="7">
        <v>10</v>
      </c>
      <c r="CN34" s="7">
        <v>9</v>
      </c>
      <c r="CO34" s="7">
        <v>8</v>
      </c>
      <c r="CP34" s="7">
        <v>7</v>
      </c>
      <c r="CQ34" s="7">
        <v>6</v>
      </c>
      <c r="CR34" s="7">
        <v>5</v>
      </c>
      <c r="CS34" s="7">
        <v>4</v>
      </c>
      <c r="CT34" s="7">
        <v>3</v>
      </c>
      <c r="CU34" s="7">
        <v>2</v>
      </c>
      <c r="CV34" s="7">
        <v>1</v>
      </c>
      <c r="CW34" s="11" t="s">
        <v>23</v>
      </c>
      <c r="CX34" s="11"/>
      <c r="CY34" s="7">
        <v>30</v>
      </c>
      <c r="CZ34" s="7">
        <v>29</v>
      </c>
      <c r="DA34" s="7">
        <v>28</v>
      </c>
      <c r="DB34" s="7">
        <v>27</v>
      </c>
      <c r="DC34" s="7">
        <v>26</v>
      </c>
      <c r="DD34" s="7">
        <v>25</v>
      </c>
      <c r="DE34" s="7">
        <v>24</v>
      </c>
      <c r="DF34" s="7">
        <v>23</v>
      </c>
      <c r="DG34" s="7">
        <v>22</v>
      </c>
      <c r="DH34" s="7">
        <v>21</v>
      </c>
      <c r="DI34" s="7">
        <v>20</v>
      </c>
      <c r="DJ34" s="7">
        <v>19</v>
      </c>
      <c r="DK34" s="7">
        <v>18</v>
      </c>
      <c r="DL34" s="7">
        <v>17</v>
      </c>
      <c r="DM34" s="7">
        <v>16</v>
      </c>
      <c r="DN34" s="7">
        <v>15</v>
      </c>
      <c r="DO34" s="7">
        <v>14</v>
      </c>
      <c r="DP34" s="7">
        <v>13</v>
      </c>
      <c r="DQ34" s="7">
        <v>12</v>
      </c>
      <c r="DR34" s="7">
        <v>11</v>
      </c>
      <c r="DS34" s="7">
        <v>10</v>
      </c>
      <c r="DT34" s="7">
        <v>9</v>
      </c>
      <c r="DU34" s="7">
        <v>8</v>
      </c>
      <c r="DV34" s="7">
        <v>7</v>
      </c>
      <c r="DW34" s="7">
        <v>6</v>
      </c>
      <c r="DX34" s="7">
        <v>5</v>
      </c>
      <c r="DY34" s="7">
        <v>4</v>
      </c>
      <c r="DZ34" s="7">
        <v>3</v>
      </c>
      <c r="EA34" s="7">
        <v>2</v>
      </c>
      <c r="EB34" s="7">
        <v>1</v>
      </c>
    </row>
    <row r="35" spans="4:132" x14ac:dyDescent="0.25">
      <c r="D35" s="12"/>
      <c r="E35" s="12"/>
      <c r="F35" s="7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11"/>
      <c r="AL35" s="11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11"/>
      <c r="BR35" s="11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11"/>
      <c r="CX35" s="11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25">
      <c r="D36" s="12"/>
      <c r="E36" s="12"/>
      <c r="F36" s="7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11"/>
      <c r="AL36" s="11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11"/>
      <c r="BR36" s="11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11"/>
      <c r="CX36" s="11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25">
      <c r="D37" s="12"/>
      <c r="E37" s="12"/>
      <c r="F37" s="7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11"/>
      <c r="AL37" s="11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11"/>
      <c r="BR37" s="11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11"/>
      <c r="CX37" s="11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25">
      <c r="D38" s="12"/>
      <c r="E38" s="12"/>
      <c r="F38" s="7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11"/>
      <c r="AL38" s="11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11"/>
      <c r="BR38" s="11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11"/>
      <c r="CX38" s="11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25">
      <c r="D39" s="12"/>
      <c r="E39" s="12"/>
      <c r="F39" s="7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11"/>
      <c r="AL39" s="11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11"/>
      <c r="BR39" s="11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11"/>
      <c r="CX39" s="11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25">
      <c r="D40" s="12"/>
      <c r="E40" s="12"/>
      <c r="F40" s="7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11"/>
      <c r="AL40" s="11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11"/>
      <c r="BR40" s="11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11"/>
      <c r="CX40" s="11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25">
      <c r="D41" s="12"/>
      <c r="E41" s="12"/>
      <c r="F41" s="7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11"/>
      <c r="AL41" s="11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11"/>
      <c r="BR41" s="11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11"/>
      <c r="CX41" s="11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25">
      <c r="D42" s="12"/>
      <c r="E42" s="12"/>
      <c r="F42" s="7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11"/>
      <c r="AL42" s="11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11"/>
      <c r="BR42" s="11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11"/>
      <c r="CX42" s="11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25">
      <c r="D43" s="12"/>
      <c r="E43" s="12"/>
      <c r="F43" s="7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11"/>
      <c r="AL43" s="11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11"/>
      <c r="BR43" s="11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11"/>
      <c r="CX43" s="11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25">
      <c r="D44" s="12"/>
      <c r="E44" s="12"/>
      <c r="F44" s="7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11"/>
      <c r="AL44" s="11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11"/>
      <c r="BR44" s="11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11"/>
      <c r="CX44" s="11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25">
      <c r="D45" s="12"/>
      <c r="E45" s="12"/>
      <c r="F45" s="7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11"/>
      <c r="AL45" s="11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11"/>
      <c r="BR45" s="11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11"/>
      <c r="CX45" s="11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25">
      <c r="D46" s="12"/>
      <c r="E46" s="12"/>
      <c r="F46" s="7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11"/>
      <c r="AL46" s="11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11"/>
      <c r="BR46" s="11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11"/>
      <c r="CX46" s="11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25">
      <c r="D47" s="12"/>
      <c r="E47" s="12"/>
      <c r="F47" s="7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11"/>
      <c r="AL47" s="11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11"/>
      <c r="BR47" s="11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11"/>
      <c r="CX47" s="11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25">
      <c r="D48" s="12"/>
      <c r="E48" s="12"/>
      <c r="F48" s="7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11"/>
      <c r="AL48" s="11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11"/>
      <c r="BR48" s="11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11"/>
      <c r="CX48" s="11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25">
      <c r="D49" s="12"/>
      <c r="E49" s="12"/>
      <c r="F49" s="7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11"/>
      <c r="AL49" s="11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11"/>
      <c r="BR49" s="11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11"/>
      <c r="CX49" s="11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25">
      <c r="D50" s="12"/>
      <c r="E50" s="12"/>
      <c r="F50" s="7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11"/>
      <c r="AL50" s="11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11"/>
      <c r="BR50" s="11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11"/>
      <c r="CX50" s="11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25">
      <c r="D51" s="12"/>
      <c r="E51" s="12"/>
      <c r="F51" s="7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11"/>
      <c r="AL51" s="11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11"/>
      <c r="BR51" s="11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11"/>
      <c r="CX51" s="11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25">
      <c r="D52" s="12"/>
      <c r="E52" s="12"/>
      <c r="F52" s="7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11"/>
      <c r="AL52" s="11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11"/>
      <c r="BR52" s="11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11"/>
      <c r="CX52" s="11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25">
      <c r="D53" s="12"/>
      <c r="E53" s="12"/>
      <c r="F53" s="7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11"/>
      <c r="AL53" s="11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11"/>
      <c r="BR53" s="11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11"/>
      <c r="CX53" s="11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25">
      <c r="D54" s="12"/>
      <c r="E54" s="12"/>
      <c r="F54" s="7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11"/>
      <c r="AL54" s="11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11"/>
      <c r="BR54" s="11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11"/>
      <c r="CX54" s="11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25">
      <c r="D55" s="12"/>
      <c r="E55" s="12"/>
      <c r="F55" s="7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11"/>
      <c r="AL55" s="11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11"/>
      <c r="BR55" s="11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11"/>
      <c r="CX55" s="11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25">
      <c r="D56" s="12"/>
      <c r="E56" s="12"/>
      <c r="F56" s="7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11"/>
      <c r="AL56" s="11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11"/>
      <c r="BR56" s="11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11"/>
      <c r="CX56" s="11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25">
      <c r="D57" s="12"/>
      <c r="E57" s="12"/>
      <c r="F57" s="7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11"/>
      <c r="AL57" s="11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11"/>
      <c r="BR57" s="11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11"/>
      <c r="CX57" s="11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25">
      <c r="D58" s="12"/>
      <c r="E58" s="12"/>
      <c r="F58" s="7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11"/>
      <c r="AL58" s="11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11"/>
      <c r="BR58" s="11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11"/>
      <c r="CX58" s="11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25">
      <c r="D59" s="12"/>
      <c r="E59" s="12"/>
      <c r="F59" s="7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11"/>
      <c r="AL59" s="11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11"/>
      <c r="BR59" s="11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11"/>
      <c r="CX59" s="11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25">
      <c r="D60" s="12"/>
      <c r="E60" s="12"/>
      <c r="F60" s="7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11"/>
      <c r="AL60" s="11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11"/>
      <c r="BR60" s="11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11"/>
      <c r="CX60" s="11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25">
      <c r="D61" s="12"/>
      <c r="E61" s="12"/>
      <c r="F61" s="7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11"/>
      <c r="AL61" s="11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11"/>
      <c r="BR61" s="11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11"/>
      <c r="CX61" s="11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25">
      <c r="D62" s="12"/>
      <c r="E62" s="12"/>
      <c r="F62" s="7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11"/>
      <c r="AL62" s="11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11"/>
      <c r="BR62" s="11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11"/>
      <c r="CX62" s="11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25">
      <c r="D63" s="12"/>
      <c r="E63" s="12"/>
      <c r="F63" s="7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11"/>
      <c r="AL63" s="11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11"/>
      <c r="BR63" s="11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11"/>
      <c r="CX63" s="11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25">
      <c r="D64" s="12"/>
      <c r="E64" s="12"/>
      <c r="F64" s="7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11"/>
      <c r="AL64" s="11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11"/>
      <c r="BR64" s="11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11"/>
      <c r="CX64" s="11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25">
      <c r="D66" s="11" t="s">
        <v>18</v>
      </c>
      <c r="E66" s="11"/>
      <c r="F66" s="7"/>
      <c r="G66" s="7">
        <v>30</v>
      </c>
      <c r="H66" s="7">
        <v>29</v>
      </c>
      <c r="I66" s="7">
        <v>28</v>
      </c>
      <c r="J66" s="7">
        <v>27</v>
      </c>
      <c r="K66" s="7">
        <v>26</v>
      </c>
      <c r="L66" s="7">
        <v>25</v>
      </c>
      <c r="M66" s="7">
        <v>24</v>
      </c>
      <c r="N66" s="7">
        <v>23</v>
      </c>
      <c r="O66" s="7">
        <v>22</v>
      </c>
      <c r="P66" s="7">
        <v>21</v>
      </c>
      <c r="Q66" s="7">
        <v>20</v>
      </c>
      <c r="R66" s="7">
        <v>19</v>
      </c>
      <c r="S66" s="7">
        <v>18</v>
      </c>
      <c r="T66" s="7">
        <v>17</v>
      </c>
      <c r="U66" s="7">
        <v>16</v>
      </c>
      <c r="V66" s="7">
        <v>15</v>
      </c>
      <c r="W66" s="7">
        <v>14</v>
      </c>
      <c r="X66" s="7">
        <v>13</v>
      </c>
      <c r="Y66" s="7">
        <v>12</v>
      </c>
      <c r="Z66" s="7">
        <v>11</v>
      </c>
      <c r="AA66" s="7">
        <v>10</v>
      </c>
      <c r="AB66" s="7">
        <v>9</v>
      </c>
      <c r="AC66" s="7">
        <v>8</v>
      </c>
      <c r="AD66" s="7">
        <v>7</v>
      </c>
      <c r="AE66" s="7">
        <v>6</v>
      </c>
      <c r="AF66" s="7">
        <v>5</v>
      </c>
      <c r="AG66" s="7">
        <v>4</v>
      </c>
      <c r="AH66" s="7">
        <v>3</v>
      </c>
      <c r="AI66" s="7">
        <v>2</v>
      </c>
      <c r="AJ66" s="7">
        <v>1</v>
      </c>
      <c r="AK66" s="11" t="s">
        <v>20</v>
      </c>
      <c r="AL66" s="11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1" t="s">
        <v>22</v>
      </c>
      <c r="BR66" s="11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11" t="s">
        <v>24</v>
      </c>
      <c r="CX66" s="11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25">
      <c r="D67" s="11"/>
      <c r="E67" s="11"/>
      <c r="F67" s="7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11"/>
      <c r="AL67" s="11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11"/>
      <c r="BR67" s="11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11"/>
      <c r="CX67" s="11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25">
      <c r="D68" s="11"/>
      <c r="E68" s="11"/>
      <c r="F68" s="7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11"/>
      <c r="AL68" s="11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11"/>
      <c r="BR68" s="11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11"/>
      <c r="CX68" s="11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25">
      <c r="D69" s="11"/>
      <c r="E69" s="11"/>
      <c r="F69" s="7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11"/>
      <c r="AL69" s="11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11"/>
      <c r="BR69" s="11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11"/>
      <c r="CX69" s="11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25">
      <c r="D70" s="11"/>
      <c r="E70" s="11"/>
      <c r="F70" s="7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11"/>
      <c r="AL70" s="11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11"/>
      <c r="BR70" s="11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11"/>
      <c r="CX70" s="11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25">
      <c r="D71" s="11"/>
      <c r="E71" s="11"/>
      <c r="F71" s="7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11"/>
      <c r="AL71" s="11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11"/>
      <c r="BR71" s="11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11"/>
      <c r="CX71" s="11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25">
      <c r="D72" s="11"/>
      <c r="E72" s="11"/>
      <c r="F72" s="7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11"/>
      <c r="AL72" s="11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11"/>
      <c r="BR72" s="11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11"/>
      <c r="CX72" s="11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25">
      <c r="D73" s="11"/>
      <c r="E73" s="11"/>
      <c r="F73" s="7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11"/>
      <c r="AL73" s="11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11"/>
      <c r="BR73" s="11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11"/>
      <c r="CX73" s="11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25">
      <c r="D74" s="11"/>
      <c r="E74" s="11"/>
      <c r="F74" s="7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11"/>
      <c r="AL74" s="11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11"/>
      <c r="BR74" s="11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11"/>
      <c r="CX74" s="11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25">
      <c r="D75" s="11"/>
      <c r="E75" s="11"/>
      <c r="F75" s="7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11"/>
      <c r="AL75" s="11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11"/>
      <c r="BR75" s="11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11"/>
      <c r="CX75" s="11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25">
      <c r="D76" s="11"/>
      <c r="E76" s="11"/>
      <c r="F76" s="7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11"/>
      <c r="AL76" s="11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11"/>
      <c r="BR76" s="11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11"/>
      <c r="CX76" s="11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25">
      <c r="D77" s="11"/>
      <c r="E77" s="11"/>
      <c r="F77" s="7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11"/>
      <c r="AL77" s="11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11"/>
      <c r="BR77" s="11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11"/>
      <c r="CX77" s="11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25">
      <c r="D78" s="11"/>
      <c r="E78" s="11"/>
      <c r="F78" s="7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11"/>
      <c r="AL78" s="11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11"/>
      <c r="BR78" s="11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11"/>
      <c r="CX78" s="11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25">
      <c r="D79" s="11"/>
      <c r="E79" s="11"/>
      <c r="F79" s="7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11"/>
      <c r="AL79" s="11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11"/>
      <c r="BR79" s="11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11"/>
      <c r="CX79" s="11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25">
      <c r="D80" s="11"/>
      <c r="E80" s="11"/>
      <c r="F80" s="7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11"/>
      <c r="AL80" s="11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11"/>
      <c r="BR80" s="11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11"/>
      <c r="CX80" s="11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25">
      <c r="D81" s="11"/>
      <c r="E81" s="11"/>
      <c r="F81" s="7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11"/>
      <c r="AL81" s="11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11"/>
      <c r="BR81" s="11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11"/>
      <c r="CX81" s="11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25">
      <c r="D82" s="11"/>
      <c r="E82" s="11"/>
      <c r="F82" s="7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11"/>
      <c r="AL82" s="11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11"/>
      <c r="BR82" s="11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11"/>
      <c r="CX82" s="11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25">
      <c r="D83" s="11"/>
      <c r="E83" s="11"/>
      <c r="F83" s="7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11"/>
      <c r="AL83" s="11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11"/>
      <c r="BR83" s="11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11"/>
      <c r="CX83" s="11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25">
      <c r="D84" s="11"/>
      <c r="E84" s="11"/>
      <c r="F84" s="7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11"/>
      <c r="AL84" s="11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11"/>
      <c r="BR84" s="11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11"/>
      <c r="CX84" s="11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25">
      <c r="D85" s="11"/>
      <c r="E85" s="11"/>
      <c r="F85" s="7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11"/>
      <c r="AL85" s="11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11"/>
      <c r="BR85" s="11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11"/>
      <c r="CX85" s="11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25">
      <c r="D86" s="11"/>
      <c r="E86" s="11"/>
      <c r="F86" s="7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11"/>
      <c r="AL86" s="11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11"/>
      <c r="BR86" s="11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11"/>
      <c r="CX86" s="11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25">
      <c r="D87" s="11"/>
      <c r="E87" s="11"/>
      <c r="F87" s="7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11"/>
      <c r="AL87" s="11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11"/>
      <c r="BR87" s="11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11"/>
      <c r="CX87" s="11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25">
      <c r="D88" s="11"/>
      <c r="E88" s="11"/>
      <c r="F88" s="7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11"/>
      <c r="AL88" s="11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11"/>
      <c r="BR88" s="11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11"/>
      <c r="CX88" s="11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25">
      <c r="D89" s="11"/>
      <c r="E89" s="11"/>
      <c r="F89" s="7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11"/>
      <c r="AL89" s="11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11"/>
      <c r="BR89" s="11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11"/>
      <c r="CX89" s="11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25">
      <c r="D90" s="11"/>
      <c r="E90" s="11"/>
      <c r="F90" s="7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11"/>
      <c r="AL90" s="11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11"/>
      <c r="BR90" s="11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11"/>
      <c r="CX90" s="11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25">
      <c r="D91" s="11"/>
      <c r="E91" s="11"/>
      <c r="F91" s="7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11"/>
      <c r="AL91" s="11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11"/>
      <c r="BR91" s="11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11"/>
      <c r="CX91" s="11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25">
      <c r="D92" s="11"/>
      <c r="E92" s="11"/>
      <c r="F92" s="7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11"/>
      <c r="AL92" s="11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11"/>
      <c r="BR92" s="11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11"/>
      <c r="CX92" s="11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25">
      <c r="D93" s="11"/>
      <c r="E93" s="11"/>
      <c r="F93" s="7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11"/>
      <c r="AL93" s="11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11"/>
      <c r="BR93" s="11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11"/>
      <c r="CX93" s="11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25">
      <c r="D94" s="11"/>
      <c r="E94" s="11"/>
      <c r="F94" s="7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11"/>
      <c r="AL94" s="11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11"/>
      <c r="BR94" s="11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11"/>
      <c r="CX94" s="11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25">
      <c r="D95" s="11"/>
      <c r="E95" s="11"/>
      <c r="F95" s="7">
        <v>2</v>
      </c>
      <c r="G95" s="2">
        <f>$D$20/($D$21-$D$22*G96)</f>
        <v>0.51881554595928436</v>
      </c>
      <c r="H95" s="5">
        <f t="shared" ref="H95:AJ95" si="279">$D$20/($D$21-$D$22*H96)</f>
        <v>0.51881554595928436</v>
      </c>
      <c r="I95" s="5">
        <f t="shared" si="279"/>
        <v>0.51881554595928436</v>
      </c>
      <c r="J95" s="5">
        <f t="shared" si="279"/>
        <v>0.51881554595928436</v>
      </c>
      <c r="K95" s="5">
        <f t="shared" si="279"/>
        <v>0.51881554595928436</v>
      </c>
      <c r="L95" s="5">
        <f t="shared" si="279"/>
        <v>0.51881554595928436</v>
      </c>
      <c r="M95" s="5">
        <f t="shared" si="279"/>
        <v>0.51881554595928436</v>
      </c>
      <c r="N95" s="5">
        <f t="shared" si="279"/>
        <v>0.51881554595928436</v>
      </c>
      <c r="O95" s="5">
        <f t="shared" si="279"/>
        <v>0.51881554595928436</v>
      </c>
      <c r="P95" s="5">
        <f t="shared" si="279"/>
        <v>0.51881554595928436</v>
      </c>
      <c r="Q95" s="5">
        <f t="shared" si="279"/>
        <v>0.51881554595928436</v>
      </c>
      <c r="R95" s="5">
        <f t="shared" si="279"/>
        <v>0.51881554595928436</v>
      </c>
      <c r="S95" s="5">
        <f t="shared" si="279"/>
        <v>0.51881554595928436</v>
      </c>
      <c r="T95" s="5">
        <f t="shared" si="279"/>
        <v>0.51881554595928436</v>
      </c>
      <c r="U95" s="5">
        <f t="shared" si="279"/>
        <v>0.51881554595928436</v>
      </c>
      <c r="V95" s="5">
        <f t="shared" si="279"/>
        <v>0.51881554595928436</v>
      </c>
      <c r="W95" s="5">
        <f t="shared" si="279"/>
        <v>0.51881554595928436</v>
      </c>
      <c r="X95" s="5">
        <f t="shared" si="279"/>
        <v>0.51881554595928436</v>
      </c>
      <c r="Y95" s="5">
        <f t="shared" si="279"/>
        <v>0.51881554595928436</v>
      </c>
      <c r="Z95" s="5">
        <f t="shared" si="279"/>
        <v>0.51881554595928436</v>
      </c>
      <c r="AA95" s="5">
        <f t="shared" si="279"/>
        <v>0.51881554595928436</v>
      </c>
      <c r="AB95" s="5">
        <f t="shared" si="279"/>
        <v>0.51881554595928436</v>
      </c>
      <c r="AC95" s="5">
        <f t="shared" si="279"/>
        <v>0.51881554595928436</v>
      </c>
      <c r="AD95" s="5">
        <f t="shared" si="279"/>
        <v>0.51881554595928436</v>
      </c>
      <c r="AE95" s="5">
        <f t="shared" si="279"/>
        <v>0.51881554595928436</v>
      </c>
      <c r="AF95" s="5">
        <f t="shared" si="279"/>
        <v>0.51881554595928436</v>
      </c>
      <c r="AG95" s="5">
        <f>$D$20/($D$21-$D$22*AG96)</f>
        <v>0.51881554595928436</v>
      </c>
      <c r="AH95" s="5">
        <f t="shared" si="279"/>
        <v>0.51881554595928436</v>
      </c>
      <c r="AI95" s="5">
        <f t="shared" si="279"/>
        <v>0.51881554595928436</v>
      </c>
      <c r="AJ95" s="2">
        <f t="shared" si="279"/>
        <v>0.51881554595928436</v>
      </c>
      <c r="AK95" s="11"/>
      <c r="AL95" s="11"/>
      <c r="AM95" s="2">
        <f>(AM96*$D$22-BS95)/($D$21-$D$22*G96)</f>
        <v>144.3553362122147</v>
      </c>
      <c r="AN95" s="5">
        <f>(AN96*$D$22-BT95)/($D$21-$D$22*H96)</f>
        <v>139.99005390230545</v>
      </c>
      <c r="AO95" s="5">
        <f t="shared" ref="AO95:BP95" si="280">(AO96*$D$22-BU95)/($D$21-$D$22*I96)</f>
        <v>135.63705512810301</v>
      </c>
      <c r="AP95" s="5">
        <f t="shared" si="280"/>
        <v>131.30847889171787</v>
      </c>
      <c r="AQ95" s="5">
        <f t="shared" si="280"/>
        <v>127.01617684692705</v>
      </c>
      <c r="AR95" s="5">
        <f t="shared" si="280"/>
        <v>122.77157390086521</v>
      </c>
      <c r="AS95" s="5">
        <f t="shared" si="280"/>
        <v>118.58553388743564</v>
      </c>
      <c r="AT95" s="5">
        <f t="shared" si="280"/>
        <v>114.4682319050668</v>
      </c>
      <c r="AU95" s="5">
        <f t="shared" si="280"/>
        <v>110.4290348292722</v>
      </c>
      <c r="AV95" s="5">
        <f t="shared" si="280"/>
        <v>106.47639140995175</v>
      </c>
      <c r="AW95" s="5">
        <f t="shared" si="280"/>
        <v>102.6177332459001</v>
      </c>
      <c r="AX95" s="5">
        <f t="shared" si="280"/>
        <v>98.859387796175184</v>
      </c>
      <c r="AY95" s="5">
        <f t="shared" si="280"/>
        <v>95.206504441637946</v>
      </c>
      <c r="AZ95" s="5">
        <f t="shared" si="280"/>
        <v>91.662994452054377</v>
      </c>
      <c r="BA95" s="5">
        <f t="shared" si="280"/>
        <v>88.231485546742078</v>
      </c>
      <c r="BB95" s="5">
        <f t="shared" si="280"/>
        <v>84.913291562009292</v>
      </c>
      <c r="BC95" s="5">
        <f t="shared" si="280"/>
        <v>81.708397558792797</v>
      </c>
      <c r="BD95" s="5">
        <f t="shared" si="280"/>
        <v>78.615460521191849</v>
      </c>
      <c r="BE95" s="5">
        <f t="shared" si="280"/>
        <v>75.631825613235591</v>
      </c>
      <c r="BF95" s="5">
        <f t="shared" si="280"/>
        <v>72.753557779388785</v>
      </c>
      <c r="BG95" s="5">
        <f t="shared" si="280"/>
        <v>69.975488296101176</v>
      </c>
      <c r="BH95" s="5">
        <f t="shared" si="280"/>
        <v>67.29127570914811</v>
      </c>
      <c r="BI95" s="5">
        <f t="shared" si="280"/>
        <v>64.693480426489543</v>
      </c>
      <c r="BJ95" s="5">
        <f t="shared" si="280"/>
        <v>62.173652080656254</v>
      </c>
      <c r="BK95" s="5">
        <f t="shared" si="280"/>
        <v>59.722428629877712</v>
      </c>
      <c r="BL95" s="5">
        <f t="shared" si="280"/>
        <v>57.329646034760145</v>
      </c>
      <c r="BM95" s="5">
        <f t="shared" si="280"/>
        <v>54.984457228618368</v>
      </c>
      <c r="BN95" s="5">
        <f t="shared" si="280"/>
        <v>52.675458995702805</v>
      </c>
      <c r="BO95" s="5">
        <f t="shared" si="280"/>
        <v>50.39082528352359</v>
      </c>
      <c r="BP95" s="2">
        <f t="shared" si="280"/>
        <v>48.118445404071565</v>
      </c>
      <c r="BQ95" s="11"/>
      <c r="BR95" s="11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11"/>
      <c r="CX95" s="11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25">
      <c r="D96" s="11"/>
      <c r="E96" s="11"/>
      <c r="F96" s="7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11"/>
      <c r="AL96" s="11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11"/>
      <c r="BR96" s="11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11"/>
      <c r="CX96" s="11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8"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exel</cp:lastModifiedBy>
  <dcterms:created xsi:type="dcterms:W3CDTF">2021-03-25T07:15:14Z</dcterms:created>
  <dcterms:modified xsi:type="dcterms:W3CDTF">2021-04-11T20:06:47Z</dcterms:modified>
</cp:coreProperties>
</file>