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-105" yWindow="-105" windowWidth="23250" windowHeight="12600"/>
  </bookViews>
  <sheets>
    <sheet name="ro=const" sheetId="1" r:id="rId1"/>
    <sheet name="ro=var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3" i="2" l="1"/>
  <c r="Q12" i="2"/>
  <c r="Q16" i="2" s="1"/>
  <c r="Q17" i="2" s="1"/>
  <c r="P12" i="2"/>
  <c r="O12" i="2"/>
  <c r="N12" i="2"/>
  <c r="N16" i="2" s="1"/>
  <c r="N17" i="2" s="1"/>
  <c r="M12" i="2"/>
  <c r="M16" i="2" s="1"/>
  <c r="M17" i="2" s="1"/>
  <c r="L12" i="2"/>
  <c r="K12" i="2"/>
  <c r="J12" i="2"/>
  <c r="J16" i="2" s="1"/>
  <c r="J17" i="2" s="1"/>
  <c r="I12" i="2"/>
  <c r="I16" i="2" s="1"/>
  <c r="I17" i="2" s="1"/>
  <c r="H12" i="2"/>
  <c r="C8" i="2"/>
  <c r="Q4" i="2"/>
  <c r="G4" i="2"/>
  <c r="C4" i="2"/>
  <c r="H2" i="2" s="1"/>
  <c r="I2" i="2" s="1"/>
  <c r="J2" i="2" s="1"/>
  <c r="K2" i="2" s="1"/>
  <c r="L2" i="2" s="1"/>
  <c r="M2" i="2" s="1"/>
  <c r="N2" i="2" s="1"/>
  <c r="O2" i="2" s="1"/>
  <c r="P2" i="2" s="1"/>
  <c r="Q2" i="2" s="1"/>
  <c r="I3" i="2"/>
  <c r="I4" i="2" s="1"/>
  <c r="H3" i="2"/>
  <c r="H4" i="2" s="1"/>
  <c r="G12" i="1"/>
  <c r="G16" i="1" s="1"/>
  <c r="G17" i="1" s="1"/>
  <c r="H3" i="1"/>
  <c r="C8" i="1"/>
  <c r="I12" i="1"/>
  <c r="I16" i="1" s="1"/>
  <c r="I17" i="1" s="1"/>
  <c r="I18" i="1" s="1"/>
  <c r="I21" i="1" s="1"/>
  <c r="J12" i="1"/>
  <c r="J16" i="1" s="1"/>
  <c r="J17" i="1" s="1"/>
  <c r="H12" i="1"/>
  <c r="H16" i="1" s="1"/>
  <c r="H17" i="1" s="1"/>
  <c r="H4" i="1"/>
  <c r="I4" i="1"/>
  <c r="J4" i="1"/>
  <c r="K4" i="1"/>
  <c r="L4" i="1"/>
  <c r="M4" i="1"/>
  <c r="N4" i="1"/>
  <c r="O4" i="1"/>
  <c r="P4" i="1"/>
  <c r="Q4" i="1"/>
  <c r="G4" i="1"/>
  <c r="I3" i="1"/>
  <c r="J3" i="1" s="1"/>
  <c r="K3" i="1" s="1"/>
  <c r="L3" i="1" s="1"/>
  <c r="M3" i="1" s="1"/>
  <c r="N3" i="1" s="1"/>
  <c r="O3" i="1" s="1"/>
  <c r="P3" i="1" s="1"/>
  <c r="I2" i="1"/>
  <c r="J2" i="1"/>
  <c r="K2" i="1"/>
  <c r="L2" i="1"/>
  <c r="M2" i="1" s="1"/>
  <c r="N2" i="1" s="1"/>
  <c r="O2" i="1" s="1"/>
  <c r="P2" i="1" s="1"/>
  <c r="Q2" i="1" s="1"/>
  <c r="H2" i="1"/>
  <c r="C4" i="1"/>
  <c r="I22" i="1" l="1"/>
  <c r="I23" i="1" s="1"/>
  <c r="I20" i="1"/>
  <c r="Q14" i="2"/>
  <c r="K16" i="2"/>
  <c r="K17" i="2" s="1"/>
  <c r="K18" i="2" s="1"/>
  <c r="Q9" i="2"/>
  <c r="I9" i="2"/>
  <c r="G12" i="2"/>
  <c r="H9" i="2"/>
  <c r="O16" i="2"/>
  <c r="O17" i="2" s="1"/>
  <c r="O18" i="2" s="1"/>
  <c r="I18" i="2"/>
  <c r="Q18" i="2"/>
  <c r="H16" i="2"/>
  <c r="H17" i="2" s="1"/>
  <c r="H18" i="2" s="1"/>
  <c r="L16" i="2"/>
  <c r="L17" i="2" s="1"/>
  <c r="L18" i="2" s="1"/>
  <c r="P16" i="2"/>
  <c r="P17" i="2" s="1"/>
  <c r="P18" i="2" s="1"/>
  <c r="J18" i="2"/>
  <c r="N18" i="2"/>
  <c r="M18" i="2"/>
  <c r="J3" i="2"/>
  <c r="I9" i="1"/>
  <c r="L12" i="1"/>
  <c r="L16" i="1" s="1"/>
  <c r="L17" i="1" s="1"/>
  <c r="L18" i="1" s="1"/>
  <c r="L21" i="1" s="1"/>
  <c r="K12" i="1"/>
  <c r="K16" i="1" s="1"/>
  <c r="K17" i="1" s="1"/>
  <c r="K18" i="1" s="1"/>
  <c r="K21" i="1" s="1"/>
  <c r="H9" i="1"/>
  <c r="J9" i="1"/>
  <c r="G18" i="1"/>
  <c r="G21" i="1" s="1"/>
  <c r="J18" i="1"/>
  <c r="J21" i="1" s="1"/>
  <c r="H18" i="1"/>
  <c r="H21" i="1" s="1"/>
  <c r="G9" i="1"/>
  <c r="G13" i="1"/>
  <c r="G20" i="1" l="1"/>
  <c r="G22" i="1"/>
  <c r="G23" i="1" s="1"/>
  <c r="L22" i="1"/>
  <c r="L23" i="1" s="1"/>
  <c r="L20" i="1"/>
  <c r="H22" i="1"/>
  <c r="H23" i="1" s="1"/>
  <c r="H20" i="1"/>
  <c r="J22" i="1"/>
  <c r="J23" i="1" s="1"/>
  <c r="J20" i="1"/>
  <c r="K22" i="1"/>
  <c r="K23" i="1" s="1"/>
  <c r="K20" i="1"/>
  <c r="H10" i="2"/>
  <c r="H13" i="2" s="1"/>
  <c r="H14" i="2" s="1"/>
  <c r="G13" i="2"/>
  <c r="G16" i="2"/>
  <c r="G17" i="2" s="1"/>
  <c r="G18" i="2" s="1"/>
  <c r="G9" i="2"/>
  <c r="G10" i="2" s="1"/>
  <c r="K3" i="2"/>
  <c r="J4" i="2"/>
  <c r="J9" i="2" s="1"/>
  <c r="I10" i="1"/>
  <c r="I13" i="1" s="1"/>
  <c r="H10" i="1"/>
  <c r="H13" i="1" s="1"/>
  <c r="L9" i="1"/>
  <c r="G10" i="1"/>
  <c r="K9" i="1"/>
  <c r="J10" i="1" s="1"/>
  <c r="J13" i="1" s="1"/>
  <c r="M12" i="1"/>
  <c r="G14" i="2" l="1"/>
  <c r="L3" i="2"/>
  <c r="K4" i="2"/>
  <c r="K9" i="2" s="1"/>
  <c r="J10" i="2" s="1"/>
  <c r="J13" i="2" s="1"/>
  <c r="J14" i="2" s="1"/>
  <c r="I10" i="2"/>
  <c r="I13" i="2" s="1"/>
  <c r="I14" i="2" s="1"/>
  <c r="M16" i="1"/>
  <c r="M17" i="1" s="1"/>
  <c r="M18" i="1" s="1"/>
  <c r="M21" i="1" s="1"/>
  <c r="M9" i="1"/>
  <c r="L10" i="1" s="1"/>
  <c r="L13" i="1" s="1"/>
  <c r="K10" i="1"/>
  <c r="K13" i="1" s="1"/>
  <c r="M20" i="1" l="1"/>
  <c r="M22" i="1"/>
  <c r="M23" i="1" s="1"/>
  <c r="M3" i="2"/>
  <c r="L4" i="2"/>
  <c r="L9" i="2" s="1"/>
  <c r="O12" i="1"/>
  <c r="N12" i="1"/>
  <c r="M4" i="2" l="1"/>
  <c r="M9" i="2" s="1"/>
  <c r="L10" i="2" s="1"/>
  <c r="L13" i="2" s="1"/>
  <c r="L14" i="2" s="1"/>
  <c r="N3" i="2"/>
  <c r="K10" i="2"/>
  <c r="K13" i="2" s="1"/>
  <c r="K14" i="2" s="1"/>
  <c r="N16" i="1"/>
  <c r="N17" i="1" s="1"/>
  <c r="N18" i="1" s="1"/>
  <c r="N21" i="1" s="1"/>
  <c r="N9" i="1"/>
  <c r="M10" i="1" s="1"/>
  <c r="M13" i="1" s="1"/>
  <c r="O16" i="1"/>
  <c r="O17" i="1" s="1"/>
  <c r="O18" i="1" s="1"/>
  <c r="O21" i="1" s="1"/>
  <c r="O9" i="1"/>
  <c r="N20" i="1" l="1"/>
  <c r="N22" i="1"/>
  <c r="N23" i="1" s="1"/>
  <c r="O20" i="1"/>
  <c r="O22" i="1"/>
  <c r="O23" i="1" s="1"/>
  <c r="N4" i="2"/>
  <c r="N9" i="2" s="1"/>
  <c r="M10" i="2" s="1"/>
  <c r="M13" i="2" s="1"/>
  <c r="M14" i="2" s="1"/>
  <c r="O3" i="2"/>
  <c r="Q13" i="1"/>
  <c r="Q12" i="1"/>
  <c r="P12" i="1"/>
  <c r="N10" i="1"/>
  <c r="N13" i="1" s="1"/>
  <c r="P3" i="2" l="1"/>
  <c r="P4" i="2" s="1"/>
  <c r="P9" i="2" s="1"/>
  <c r="P10" i="2" s="1"/>
  <c r="P13" i="2" s="1"/>
  <c r="P14" i="2" s="1"/>
  <c r="O4" i="2"/>
  <c r="O9" i="2" s="1"/>
  <c r="P16" i="1"/>
  <c r="P17" i="1" s="1"/>
  <c r="P18" i="1" s="1"/>
  <c r="P21" i="1" s="1"/>
  <c r="P9" i="1"/>
  <c r="Q16" i="1"/>
  <c r="Q17" i="1" s="1"/>
  <c r="Q18" i="1" s="1"/>
  <c r="Q21" i="1" s="1"/>
  <c r="Q9" i="1"/>
  <c r="P22" i="1" l="1"/>
  <c r="P23" i="1" s="1"/>
  <c r="P20" i="1"/>
  <c r="Q20" i="1"/>
  <c r="Q22" i="1"/>
  <c r="Q23" i="1" s="1"/>
  <c r="O10" i="2"/>
  <c r="O13" i="2" s="1"/>
  <c r="O14" i="2" s="1"/>
  <c r="N10" i="2"/>
  <c r="N13" i="2" s="1"/>
  <c r="N14" i="2" s="1"/>
  <c r="P10" i="1"/>
  <c r="P13" i="1" s="1"/>
  <c r="O10" i="1"/>
  <c r="O13" i="1" s="1"/>
</calcChain>
</file>

<file path=xl/sharedStrings.xml><?xml version="1.0" encoding="utf-8"?>
<sst xmlns="http://schemas.openxmlformats.org/spreadsheetml/2006/main" count="58" uniqueCount="25">
  <si>
    <t>L</t>
  </si>
  <si>
    <t>dx</t>
  </si>
  <si>
    <t>k</t>
  </si>
  <si>
    <t>R</t>
  </si>
  <si>
    <t>Cp</t>
  </si>
  <si>
    <t>p*</t>
  </si>
  <si>
    <t>T*</t>
  </si>
  <si>
    <t>n</t>
  </si>
  <si>
    <t>N</t>
  </si>
  <si>
    <t>x</t>
  </si>
  <si>
    <t>A</t>
  </si>
  <si>
    <t>U</t>
  </si>
  <si>
    <t>p</t>
  </si>
  <si>
    <t>ro</t>
  </si>
  <si>
    <t>G</t>
  </si>
  <si>
    <t>dp</t>
  </si>
  <si>
    <t>T</t>
  </si>
  <si>
    <t>c</t>
  </si>
  <si>
    <t>M</t>
  </si>
  <si>
    <t>lamda</t>
  </si>
  <si>
    <t>tau_lam</t>
  </si>
  <si>
    <t>pi_lamda</t>
  </si>
  <si>
    <t>U_3d</t>
  </si>
  <si>
    <t>p_3d</t>
  </si>
  <si>
    <t>G_3d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</si>
</sst>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"/>
    <numFmt numFmtId="166" formatCode="0.00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1" xfId="0" applyBorder="1"/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0" fontId="0" fillId="3" borderId="1" xfId="0" applyFill="1" applyBorder="1"/>
    <xf numFmtId="166" fontId="0" fillId="3" borderId="1" xfId="0" applyNumberForma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1" fontId="0" fillId="6" borderId="1" xfId="0" applyNumberFormat="1" applyFill="1" applyBorder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0" fontId="1" fillId="0" borderId="1" xfId="0" applyFont="1" applyBorder="1"/>
    <xf numFmtId="1" fontId="1" fillId="0" borderId="1" xfId="0" applyNumberFormat="1" applyFon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6" borderId="1" xfId="0" applyFont="1" applyFill="1" applyBorder="1"/>
    <xf numFmtId="1" fontId="1" fillId="6" borderId="1" xfId="0" applyNumberFormat="1" applyFont="1" applyFill="1" applyBorder="1" applyAlignment="1">
      <alignment horizontal="center"/>
    </xf>
    <xf numFmtId="164" fontId="1" fillId="6" borderId="1" xfId="0" applyNumberFormat="1" applyFont="1" applyFill="1" applyBorder="1" applyAlignment="1">
      <alignment horizontal="center"/>
    </xf>
    <xf numFmtId="0" fontId="1" fillId="0" borderId="0" xfId="0" applyFont="1" applyBorder="1"/>
    <xf numFmtId="2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0" fontId="1" fillId="0" borderId="0" xfId="0" applyFont="1"/>
    <xf numFmtId="165" fontId="1" fillId="3" borderId="1" xfId="0" applyNumberFormat="1" applyFont="1" applyFill="1" applyBorder="1" applyAlignment="1">
      <alignment horizontal="center"/>
    </xf>
    <xf numFmtId="1" fontId="1" fillId="3" borderId="1" xfId="0" applyNumberFormat="1" applyFont="1" applyFill="1" applyBorder="1" applyAlignment="1">
      <alignment horizontal="center"/>
    </xf>
    <xf numFmtId="0" fontId="1" fillId="0" borderId="1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>
                    <a:lumMod val="7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31D-4B34-8F47-90EF68A5A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567429463929927"/>
              <c:y val="0.86009615384615401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9.1699937227060685E-2"/>
              <c:y val="1.259085402786188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'ro=const'!$G$9:$Q$9</c:f>
              <c:numCache>
                <c:formatCode>0.000</c:formatCode>
                <c:ptCount val="11"/>
                <c:pt idx="0">
                  <c:v>1.3666963331192272</c:v>
                </c:pt>
                <c:pt idx="1">
                  <c:v>1.3667003714783417</c:v>
                </c:pt>
                <c:pt idx="2">
                  <c:v>1.3669251884098725</c:v>
                </c:pt>
                <c:pt idx="3">
                  <c:v>1.3671817912822168</c:v>
                </c:pt>
                <c:pt idx="4">
                  <c:v>1.3674478827502272</c:v>
                </c:pt>
                <c:pt idx="5">
                  <c:v>1.36770026588791</c:v>
                </c:pt>
                <c:pt idx="6">
                  <c:v>1.3679171440280218</c:v>
                </c:pt>
                <c:pt idx="7">
                  <c:v>1.3680814635648844</c:v>
                </c:pt>
                <c:pt idx="8">
                  <c:v>1.3681850539064733</c:v>
                </c:pt>
                <c:pt idx="9">
                  <c:v>1.3682325297172326</c:v>
                </c:pt>
                <c:pt idx="10">
                  <c:v>1.3682425610246536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19-45E3-8D41-446F775A3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234354538659112"/>
              <c:y val="0.85048076923076921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кг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/c</a:t>
                </a:r>
                <a:endParaRPr lang="ru-RU" sz="120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10849393290506781"/>
              <c:y val="2.220623864324649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'ro=const'!$G$6:$Q$6</c:f>
              <c:numCache>
                <c:formatCode>0</c:formatCode>
                <c:ptCount val="11"/>
                <c:pt idx="0">
                  <c:v>133050.45415058901</c:v>
                </c:pt>
                <c:pt idx="1">
                  <c:v>132583.67182289076</c:v>
                </c:pt>
                <c:pt idx="2">
                  <c:v>131973.45583551101</c:v>
                </c:pt>
                <c:pt idx="3">
                  <c:v>131164.70440047697</c:v>
                </c:pt>
                <c:pt idx="4">
                  <c:v>130074.84097772367</c:v>
                </c:pt>
                <c:pt idx="5">
                  <c:v>128578.34703624115</c:v>
                </c:pt>
                <c:pt idx="6">
                  <c:v>126479.21849325717</c:v>
                </c:pt>
                <c:pt idx="7">
                  <c:v>123461.82474043293</c:v>
                </c:pt>
                <c:pt idx="8">
                  <c:v>118999.59303076175</c:v>
                </c:pt>
                <c:pt idx="9">
                  <c:v>112177.19821167205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5E-4999-A45C-592C4D459E00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'ro=const'!$Q$28:$U$28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5E-4999-A45C-592C4D45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67129137609925"/>
              <c:y val="0.77020042374221309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Па</a:t>
                </a:r>
              </a:p>
            </c:rich>
          </c:tx>
          <c:layout>
            <c:manualLayout>
              <c:xMode val="edge"/>
              <c:yMode val="edge"/>
              <c:x val="0.1346842828022454"/>
              <c:y val="1.3223286848180122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91-4D9A-9413-03D5109C3A2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491-4D9A-9413-03D5109C3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068736054674092"/>
              <c:y val="0.7734132751478354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8.5653104925053528E-2"/>
              <c:y val="1.747234607722228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44439663457485379"/>
          <c:y val="0.93614419884261457"/>
          <c:w val="0.30535354386911484"/>
          <c:h val="5.421724694051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U, ro=const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18-4F06-B954-62E18A8D121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18-4F06-B954-62E18A8D1214}"/>
            </c:ext>
          </c:extLst>
        </c:ser>
        <c:ser>
          <c:idx val="2"/>
          <c:order val="2"/>
          <c:tx>
            <c:v>U, ro=var</c:v>
          </c:tx>
          <c:spPr>
            <a:ln>
              <a:solidFill>
                <a:schemeClr val="accent3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18-4F06-B954-62E18A8D1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1716973821476377"/>
              <c:y val="0.81465265254380848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6.9401133616484784E-2"/>
              <c:y val="1.164160751121831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E2-4F46-82D1-881218EE0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414538746647977"/>
              <c:y val="0.85364705882352943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9.8336948662328269E-2"/>
              <c:y val="1.1375142813030745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'ro=var'!$G$9:$Q$9</c:f>
              <c:numCache>
                <c:formatCode>0.000</c:formatCode>
                <c:ptCount val="11"/>
                <c:pt idx="0">
                  <c:v>1.3660305191040134</c:v>
                </c:pt>
                <c:pt idx="1">
                  <c:v>1.3660276794910102</c:v>
                </c:pt>
                <c:pt idx="2">
                  <c:v>1.3658771086896666</c:v>
                </c:pt>
                <c:pt idx="3">
                  <c:v>1.3659242672573835</c:v>
                </c:pt>
                <c:pt idx="4">
                  <c:v>1.3661394697588616</c:v>
                </c:pt>
                <c:pt idx="5">
                  <c:v>1.366482223242276</c:v>
                </c:pt>
                <c:pt idx="6">
                  <c:v>1.3669009817615767</c:v>
                </c:pt>
                <c:pt idx="7">
                  <c:v>1.3673348461226706</c:v>
                </c:pt>
                <c:pt idx="8">
                  <c:v>1.3677186458786699</c:v>
                </c:pt>
                <c:pt idx="9">
                  <c:v>1.3679932839141384</c:v>
                </c:pt>
                <c:pt idx="10">
                  <c:v>1.368123315349423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B9-41E1-B137-27AF07D87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89973611068302994"/>
              <c:y val="0.85364705882352943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кг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/c</a:t>
                </a:r>
                <a:endParaRPr lang="ru-RU" sz="120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11225041110891529"/>
              <c:y val="1.451239771499151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'ro=var'!$G$6:$Q$6</c:f>
              <c:numCache>
                <c:formatCode>0</c:formatCode>
                <c:ptCount val="11"/>
                <c:pt idx="0">
                  <c:v>133575.51445170629</c:v>
                </c:pt>
                <c:pt idx="1">
                  <c:v>133227.85858173415</c:v>
                </c:pt>
                <c:pt idx="2">
                  <c:v>132771.60956635035</c:v>
                </c:pt>
                <c:pt idx="3">
                  <c:v>132160.88642409007</c:v>
                </c:pt>
                <c:pt idx="4">
                  <c:v>131326.83841130373</c:v>
                </c:pt>
                <c:pt idx="5">
                  <c:v>130160.38230722559</c:v>
                </c:pt>
                <c:pt idx="6">
                  <c:v>128480.77690377602</c:v>
                </c:pt>
                <c:pt idx="7">
                  <c:v>125969.8958123503</c:v>
                </c:pt>
                <c:pt idx="8">
                  <c:v>122015.72675961358</c:v>
                </c:pt>
                <c:pt idx="9">
                  <c:v>115248.62599135554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F-4507-AA59-18B11041331B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'ro=const'!$Q$28:$U$28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0F-4507-AA59-18B110413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70592857020856"/>
              <c:y val="0.77590877962328497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0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P,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П</a:t>
                </a:r>
                <a:r>
                  <a:rPr lang="ru-RU" sz="1200">
                    <a:solidFill>
                      <a:schemeClr val="tx1"/>
                    </a:solidFill>
                  </a:rPr>
                  <a:t>а</a:t>
                </a:r>
              </a:p>
            </c:rich>
          </c:tx>
          <c:layout>
            <c:manualLayout>
              <c:xMode val="edge"/>
              <c:yMode val="edge"/>
              <c:x val="0.12147505422993492"/>
              <c:y val="1.9667858045060549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0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A8-43AE-913D-3F899EDF383D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A8-43AE-913D-3F899EDF3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815477820062118"/>
              <c:y val="0.77904182192083615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9.2102901422699737E-2"/>
              <c:y val="1.904914386535515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U, ro=const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C1-4131-898F-874A5AA66C39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4"/>
            <c:bubble3D val="0"/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C1-4131-898F-874A5AA66C39}"/>
              </c:ext>
            </c:extLst>
          </c:dPt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C1-4131-898F-874A5AA66C39}"/>
            </c:ext>
          </c:extLst>
        </c:ser>
        <c:ser>
          <c:idx val="2"/>
          <c:order val="2"/>
          <c:tx>
            <c:v>U, ro=var</c:v>
          </c:tx>
          <c:spPr>
            <a:ln>
              <a:solidFill>
                <a:schemeClr val="accent3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C1-4131-898F-874A5AA66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1410116792647511"/>
              <c:y val="0.82821227808249298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7.3935708700355998E-2"/>
              <c:y val="1.250905062954742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408213</xdr:colOff>
      <xdr:row>23</xdr:row>
      <xdr:rowOff>50346</xdr:rowOff>
    </xdr:from>
    <xdr:to>
      <xdr:col>7</xdr:col>
      <xdr:colOff>417738</xdr:colOff>
      <xdr:row>44</xdr:row>
      <xdr:rowOff>12246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2498B94E-1D05-4A89-9E13-14923A2EE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435429</xdr:colOff>
      <xdr:row>23</xdr:row>
      <xdr:rowOff>122463</xdr:rowOff>
    </xdr:from>
    <xdr:to>
      <xdr:col>14</xdr:col>
      <xdr:colOff>597354</xdr:colOff>
      <xdr:row>44</xdr:row>
      <xdr:rowOff>84363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67F10D4A-7825-4A18-B3FE-FB7CE6C228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462643</xdr:colOff>
      <xdr:row>44</xdr:row>
      <xdr:rowOff>54428</xdr:rowOff>
    </xdr:from>
    <xdr:to>
      <xdr:col>7</xdr:col>
      <xdr:colOff>472168</xdr:colOff>
      <xdr:row>65</xdr:row>
      <xdr:rowOff>6803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6E5CE590-1331-4CC1-8A3E-C13252E30A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489857</xdr:colOff>
      <xdr:row>44</xdr:row>
      <xdr:rowOff>108857</xdr:rowOff>
    </xdr:from>
    <xdr:to>
      <xdr:col>15</xdr:col>
      <xdr:colOff>39460</xdr:colOff>
      <xdr:row>65</xdr:row>
      <xdr:rowOff>61232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F83BFE5A-9005-43FD-B6F5-CF34C5683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517071</xdr:colOff>
      <xdr:row>29</xdr:row>
      <xdr:rowOff>32656</xdr:rowOff>
    </xdr:from>
    <xdr:to>
      <xdr:col>24</xdr:col>
      <xdr:colOff>66674</xdr:colOff>
      <xdr:row>54</xdr:row>
      <xdr:rowOff>34017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A418BD46-E319-4A12-A288-E3E12032E2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107156</xdr:colOff>
      <xdr:row>19</xdr:row>
      <xdr:rowOff>33337</xdr:rowOff>
    </xdr:from>
    <xdr:to>
      <xdr:col>7</xdr:col>
      <xdr:colOff>116681</xdr:colOff>
      <xdr:row>40</xdr:row>
      <xdr:rowOff>80962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10B75AFE-9A71-4B6D-9695-E7F320FFDB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226219</xdr:colOff>
      <xdr:row>19</xdr:row>
      <xdr:rowOff>35718</xdr:rowOff>
    </xdr:from>
    <xdr:to>
      <xdr:col>14</xdr:col>
      <xdr:colOff>388144</xdr:colOff>
      <xdr:row>40</xdr:row>
      <xdr:rowOff>83343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EADEB4C7-A262-40F5-8781-12F3118B12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95250</xdr:colOff>
      <xdr:row>41</xdr:row>
      <xdr:rowOff>28575</xdr:rowOff>
    </xdr:from>
    <xdr:to>
      <xdr:col>7</xdr:col>
      <xdr:colOff>104775</xdr:colOff>
      <xdr:row>62</xdr:row>
      <xdr:rowOff>81643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667DC6BE-15A5-48AB-9E92-39DF70C53C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226219</xdr:colOff>
      <xdr:row>41</xdr:row>
      <xdr:rowOff>40481</xdr:rowOff>
    </xdr:from>
    <xdr:to>
      <xdr:col>14</xdr:col>
      <xdr:colOff>388144</xdr:colOff>
      <xdr:row>62</xdr:row>
      <xdr:rowOff>93549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FAA57C91-944E-4408-86D4-FA6314D41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535782</xdr:colOff>
      <xdr:row>24</xdr:row>
      <xdr:rowOff>71437</xdr:rowOff>
    </xdr:from>
    <xdr:to>
      <xdr:col>24</xdr:col>
      <xdr:colOff>64974</xdr:colOff>
      <xdr:row>49</xdr:row>
      <xdr:rowOff>144236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A418BD46-E319-4A12-A288-E3E12032E2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V29"/>
  <sheetViews>
    <sheetView tabSelected="1" topLeftCell="B1" zoomScale="70" zoomScaleNormal="70" workbookViewId="0">
      <selection activeCell="Y51" sqref="Y51"/>
    </sheetView>
  </sheetViews>
  <sheetFormatPr defaultRowHeight="15" x14ac:dyDescent="0.25"/>
  <cols>
    <col min="7" max="7" width="11.140625" bestFit="1" customWidth="1"/>
  </cols>
  <sheetData>
    <row r="1" spans="2:17" x14ac:dyDescent="0.25">
      <c r="F1" s="19" t="s">
        <v>8</v>
      </c>
      <c r="G1" s="20">
        <v>1</v>
      </c>
      <c r="H1" s="20">
        <v>2</v>
      </c>
      <c r="I1" s="20">
        <v>3</v>
      </c>
      <c r="J1" s="20">
        <v>4</v>
      </c>
      <c r="K1" s="20">
        <v>5</v>
      </c>
      <c r="L1" s="20">
        <v>6</v>
      </c>
      <c r="M1" s="20">
        <v>7</v>
      </c>
      <c r="N1" s="20">
        <v>8</v>
      </c>
      <c r="O1" s="20">
        <v>9</v>
      </c>
      <c r="P1" s="20">
        <v>10</v>
      </c>
      <c r="Q1" s="20">
        <v>11</v>
      </c>
    </row>
    <row r="2" spans="2:17" x14ac:dyDescent="0.25">
      <c r="F2" s="19" t="s">
        <v>9</v>
      </c>
      <c r="G2" s="21">
        <v>0</v>
      </c>
      <c r="H2" s="21">
        <f>G2+$C$4</f>
        <v>0.01</v>
      </c>
      <c r="I2" s="21">
        <f t="shared" ref="I2:Q2" si="0">H2+$C$4</f>
        <v>0.02</v>
      </c>
      <c r="J2" s="21">
        <f t="shared" si="0"/>
        <v>0.03</v>
      </c>
      <c r="K2" s="21">
        <f t="shared" si="0"/>
        <v>0.04</v>
      </c>
      <c r="L2" s="21">
        <f t="shared" si="0"/>
        <v>0.05</v>
      </c>
      <c r="M2" s="21">
        <f t="shared" si="0"/>
        <v>6.0000000000000005E-2</v>
      </c>
      <c r="N2" s="21">
        <f t="shared" si="0"/>
        <v>7.0000000000000007E-2</v>
      </c>
      <c r="O2" s="21">
        <f t="shared" si="0"/>
        <v>0.08</v>
      </c>
      <c r="P2" s="21">
        <f t="shared" si="0"/>
        <v>0.09</v>
      </c>
      <c r="Q2" s="21">
        <f t="shared" si="0"/>
        <v>9.9999999999999992E-2</v>
      </c>
    </row>
    <row r="3" spans="2:17" x14ac:dyDescent="0.25">
      <c r="B3" s="1" t="s">
        <v>0</v>
      </c>
      <c r="C3" s="1">
        <v>0.1</v>
      </c>
      <c r="F3" s="19" t="s">
        <v>3</v>
      </c>
      <c r="G3" s="22">
        <v>0.08</v>
      </c>
      <c r="H3" s="23">
        <f>G3+($Q$3-$G$3)/10</f>
        <v>7.5999999999999998E-2</v>
      </c>
      <c r="I3" s="23">
        <f t="shared" ref="I3:P3" si="1">H3+($Q$3-$G$3)/10</f>
        <v>7.1999999999999995E-2</v>
      </c>
      <c r="J3" s="23">
        <f t="shared" si="1"/>
        <v>6.7999999999999991E-2</v>
      </c>
      <c r="K3" s="23">
        <f t="shared" si="1"/>
        <v>6.3999999999999987E-2</v>
      </c>
      <c r="L3" s="23">
        <f t="shared" si="1"/>
        <v>5.9999999999999984E-2</v>
      </c>
      <c r="M3" s="23">
        <f t="shared" si="1"/>
        <v>5.599999999999998E-2</v>
      </c>
      <c r="N3" s="23">
        <f t="shared" si="1"/>
        <v>5.1999999999999977E-2</v>
      </c>
      <c r="O3" s="23">
        <f t="shared" si="1"/>
        <v>4.7999999999999973E-2</v>
      </c>
      <c r="P3" s="23">
        <f t="shared" si="1"/>
        <v>4.399999999999997E-2</v>
      </c>
      <c r="Q3" s="22">
        <v>0.04</v>
      </c>
    </row>
    <row r="4" spans="2:17" x14ac:dyDescent="0.25">
      <c r="B4" s="1" t="s">
        <v>1</v>
      </c>
      <c r="C4" s="1">
        <f>C3/10</f>
        <v>0.01</v>
      </c>
      <c r="F4" s="19" t="s">
        <v>10</v>
      </c>
      <c r="G4" s="24">
        <f>(PI()*(2*G3)^2)/4</f>
        <v>2.0106192982974676E-2</v>
      </c>
      <c r="H4" s="24">
        <f t="shared" ref="H4:Q4" si="2">(PI()*(2*H3)^2)/4</f>
        <v>1.8145839167134643E-2</v>
      </c>
      <c r="I4" s="24">
        <f t="shared" si="2"/>
        <v>1.6286016316209486E-2</v>
      </c>
      <c r="J4" s="24">
        <f t="shared" si="2"/>
        <v>1.4526724430199199E-2</v>
      </c>
      <c r="K4" s="24">
        <f t="shared" si="2"/>
        <v>1.2867963509103787E-2</v>
      </c>
      <c r="L4" s="24">
        <f t="shared" si="2"/>
        <v>1.1309733552923249E-2</v>
      </c>
      <c r="M4" s="24">
        <f t="shared" si="2"/>
        <v>9.8520345616575841E-3</v>
      </c>
      <c r="N4" s="24">
        <f t="shared" si="2"/>
        <v>8.4948665353067939E-3</v>
      </c>
      <c r="O4" s="24">
        <f t="shared" si="2"/>
        <v>7.2382294738708754E-3</v>
      </c>
      <c r="P4" s="24">
        <f t="shared" si="2"/>
        <v>6.0821233773498311E-3</v>
      </c>
      <c r="Q4" s="24">
        <f t="shared" si="2"/>
        <v>5.0265482457436689E-3</v>
      </c>
    </row>
    <row r="5" spans="2:17" x14ac:dyDescent="0.25">
      <c r="F5" s="25" t="s">
        <v>11</v>
      </c>
      <c r="G5" s="26">
        <v>57.361770732970903</v>
      </c>
      <c r="H5" s="26">
        <v>63.55893647553463</v>
      </c>
      <c r="I5" s="26">
        <v>70.828855833440514</v>
      </c>
      <c r="J5" s="26">
        <v>79.421668839555522</v>
      </c>
      <c r="K5" s="26">
        <v>89.677106167680876</v>
      </c>
      <c r="L5" s="26">
        <v>102.05150505930324</v>
      </c>
      <c r="M5" s="26">
        <v>117.16960557841188</v>
      </c>
      <c r="N5" s="26">
        <v>135.90540256665204</v>
      </c>
      <c r="O5" s="26">
        <v>159.51222826440323</v>
      </c>
      <c r="P5" s="26">
        <v>189.8393627020636</v>
      </c>
      <c r="Q5" s="26">
        <v>229.70732955548328</v>
      </c>
    </row>
    <row r="6" spans="2:17" x14ac:dyDescent="0.25">
      <c r="B6" s="14" t="s">
        <v>2</v>
      </c>
      <c r="C6" s="14">
        <v>1.4</v>
      </c>
      <c r="F6" s="25" t="s">
        <v>12</v>
      </c>
      <c r="G6" s="26">
        <v>133050.45415058901</v>
      </c>
      <c r="H6" s="26">
        <v>132583.67182289076</v>
      </c>
      <c r="I6" s="26">
        <v>131973.45583551101</v>
      </c>
      <c r="J6" s="26">
        <v>131164.70440047697</v>
      </c>
      <c r="K6" s="26">
        <v>130074.84097772367</v>
      </c>
      <c r="L6" s="26">
        <v>128578.34703624115</v>
      </c>
      <c r="M6" s="26">
        <v>126479.21849325717</v>
      </c>
      <c r="N6" s="26">
        <v>123461.82474043293</v>
      </c>
      <c r="O6" s="26">
        <v>118999.59303076175</v>
      </c>
      <c r="P6" s="26">
        <v>112177.19821167205</v>
      </c>
      <c r="Q6" s="26">
        <v>101325</v>
      </c>
    </row>
    <row r="7" spans="2:17" x14ac:dyDescent="0.25">
      <c r="B7" s="14" t="s">
        <v>3</v>
      </c>
      <c r="C7" s="14">
        <v>286.97199999999998</v>
      </c>
      <c r="F7" s="25" t="s">
        <v>13</v>
      </c>
      <c r="G7" s="27">
        <v>1.1850000000000001</v>
      </c>
      <c r="H7" s="27">
        <v>1.1850000000000001</v>
      </c>
      <c r="I7" s="27">
        <v>1.1850000000000001</v>
      </c>
      <c r="J7" s="27">
        <v>1.1850000000000001</v>
      </c>
      <c r="K7" s="27">
        <v>1.1850000000000001</v>
      </c>
      <c r="L7" s="27">
        <v>1.1850000000000001</v>
      </c>
      <c r="M7" s="27">
        <v>1.1850000000000001</v>
      </c>
      <c r="N7" s="27">
        <v>1.1850000000000001</v>
      </c>
      <c r="O7" s="27">
        <v>1.1850000000000001</v>
      </c>
      <c r="P7" s="27">
        <v>1.1850000000000001</v>
      </c>
      <c r="Q7" s="27">
        <v>1.1850000000000001</v>
      </c>
    </row>
    <row r="8" spans="2:17" x14ac:dyDescent="0.25">
      <c r="B8" s="14" t="s">
        <v>4</v>
      </c>
      <c r="C8" s="14">
        <f>C7*(C6/(C6-1))</f>
        <v>1004.402</v>
      </c>
      <c r="F8" s="28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</row>
    <row r="9" spans="2:17" x14ac:dyDescent="0.25">
      <c r="F9" s="19" t="s">
        <v>14</v>
      </c>
      <c r="G9" s="23">
        <f>G4*G7*G12</f>
        <v>1.3666963331192272</v>
      </c>
      <c r="H9" s="23">
        <f>H4*H7*H12</f>
        <v>1.3667003714783417</v>
      </c>
      <c r="I9" s="23">
        <f t="shared" ref="I9:Q9" si="3">I4*I7*I12</f>
        <v>1.3669251884098725</v>
      </c>
      <c r="J9" s="23">
        <f t="shared" si="3"/>
        <v>1.3671817912822168</v>
      </c>
      <c r="K9" s="23">
        <f t="shared" si="3"/>
        <v>1.3674478827502272</v>
      </c>
      <c r="L9" s="23">
        <f t="shared" si="3"/>
        <v>1.36770026588791</v>
      </c>
      <c r="M9" s="23">
        <f t="shared" si="3"/>
        <v>1.3679171440280218</v>
      </c>
      <c r="N9" s="23">
        <f t="shared" si="3"/>
        <v>1.3680814635648844</v>
      </c>
      <c r="O9" s="23">
        <f t="shared" si="3"/>
        <v>1.3681850539064733</v>
      </c>
      <c r="P9" s="23">
        <f t="shared" si="3"/>
        <v>1.3682325297172326</v>
      </c>
      <c r="Q9" s="23">
        <f t="shared" si="3"/>
        <v>1.3682425610246536</v>
      </c>
    </row>
    <row r="10" spans="2:17" x14ac:dyDescent="0.25">
      <c r="B10" s="10" t="s">
        <v>5</v>
      </c>
      <c r="C10" s="10">
        <v>135000</v>
      </c>
      <c r="F10" s="19" t="s">
        <v>15</v>
      </c>
      <c r="G10" s="30">
        <f>(G12)*(G9-H9)</f>
        <v>-2.3164811390438144E-4</v>
      </c>
      <c r="H10" s="30">
        <f>(H12)*(H9-I9)</f>
        <v>-1.4289167291770162E-2</v>
      </c>
      <c r="I10" s="30">
        <f t="shared" ref="I10:P10" si="4">(I12)*(I9-J9)</f>
        <v>-1.817494243035182E-2</v>
      </c>
      <c r="J10" s="30">
        <f t="shared" si="4"/>
        <v>-2.1133487274772357E-2</v>
      </c>
      <c r="K10" s="30">
        <f t="shared" si="4"/>
        <v>-2.2633042942868973E-2</v>
      </c>
      <c r="L10" s="30">
        <f t="shared" si="4"/>
        <v>-2.2132781049266841E-2</v>
      </c>
      <c r="M10" s="30">
        <f t="shared" si="4"/>
        <v>-1.9253279596606658E-2</v>
      </c>
      <c r="N10" s="30">
        <f t="shared" si="4"/>
        <v>-1.4078497674358457E-2</v>
      </c>
      <c r="O10" s="30">
        <f t="shared" si="4"/>
        <v>-7.5729751918951213E-3</v>
      </c>
      <c r="P10" s="30">
        <f t="shared" si="4"/>
        <v>-1.9043373072512412E-3</v>
      </c>
      <c r="Q10" s="31">
        <v>0</v>
      </c>
    </row>
    <row r="11" spans="2:17" x14ac:dyDescent="0.25">
      <c r="B11" s="10" t="s">
        <v>6</v>
      </c>
      <c r="C11" s="10">
        <v>288.16000000000003</v>
      </c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</row>
    <row r="12" spans="2:17" x14ac:dyDescent="0.25">
      <c r="B12" s="10" t="s">
        <v>12</v>
      </c>
      <c r="C12" s="10">
        <v>101325</v>
      </c>
      <c r="F12" s="19" t="s">
        <v>11</v>
      </c>
      <c r="G12" s="33">
        <f>(H4*H5*H7)/(G4*G7)</f>
        <v>57.361940169170005</v>
      </c>
      <c r="H12" s="21">
        <f>((G6-H6)/H7+G5*H5)^0.5</f>
        <v>63.559124281563086</v>
      </c>
      <c r="I12" s="21">
        <f t="shared" ref="I12:Q12" si="5">((H6-I6)/I7+H5*I5)^0.5</f>
        <v>70.82906853032101</v>
      </c>
      <c r="J12" s="21">
        <f t="shared" si="5"/>
        <v>79.421889896703618</v>
      </c>
      <c r="K12" s="21">
        <f t="shared" si="5"/>
        <v>89.677318186414354</v>
      </c>
      <c r="L12" s="21">
        <f t="shared" si="5"/>
        <v>102.0516915068732</v>
      </c>
      <c r="M12" s="21">
        <f t="shared" si="5"/>
        <v>117.16975330029275</v>
      </c>
      <c r="N12" s="21">
        <f t="shared" si="5"/>
        <v>135.90550488025008</v>
      </c>
      <c r="O12" s="21">
        <f t="shared" si="5"/>
        <v>159.51228785283837</v>
      </c>
      <c r="P12" s="21">
        <f t="shared" si="5"/>
        <v>189.83939254770934</v>
      </c>
      <c r="Q12" s="21">
        <f t="shared" si="5"/>
        <v>229.70734908838384</v>
      </c>
    </row>
    <row r="13" spans="2:17" x14ac:dyDescent="0.25">
      <c r="F13" s="19" t="s">
        <v>12</v>
      </c>
      <c r="G13" s="34">
        <f>C10-(G7*G12^2)/2</f>
        <v>133050.44263336691</v>
      </c>
      <c r="H13" s="20">
        <f>H6+H10</f>
        <v>132583.65753372345</v>
      </c>
      <c r="I13" s="20">
        <f t="shared" ref="I13:P13" si="6">I6+I10</f>
        <v>131973.43766056857</v>
      </c>
      <c r="J13" s="20">
        <f t="shared" si="6"/>
        <v>131164.68326698968</v>
      </c>
      <c r="K13" s="20">
        <f t="shared" si="6"/>
        <v>130074.81834468072</v>
      </c>
      <c r="L13" s="20">
        <f t="shared" si="6"/>
        <v>128578.3249034601</v>
      </c>
      <c r="M13" s="20">
        <f t="shared" si="6"/>
        <v>126479.19923997758</v>
      </c>
      <c r="N13" s="20">
        <f t="shared" si="6"/>
        <v>123461.81066193526</v>
      </c>
      <c r="O13" s="20">
        <f t="shared" si="6"/>
        <v>118999.58545778655</v>
      </c>
      <c r="P13" s="20">
        <f t="shared" si="6"/>
        <v>112177.19630733474</v>
      </c>
      <c r="Q13" s="34">
        <f>Q6+Q10</f>
        <v>101325</v>
      </c>
    </row>
    <row r="14" spans="2:17" x14ac:dyDescent="0.25">
      <c r="B14" s="15" t="s">
        <v>7</v>
      </c>
      <c r="C14" s="15">
        <v>2100</v>
      </c>
      <c r="D14">
        <v>2101</v>
      </c>
      <c r="F14" s="19" t="s">
        <v>13</v>
      </c>
      <c r="G14" s="23">
        <v>1.1850000000000001</v>
      </c>
      <c r="H14" s="23">
        <v>1.1850000000000001</v>
      </c>
      <c r="I14" s="23">
        <v>1.1850000000000001</v>
      </c>
      <c r="J14" s="23">
        <v>1.1850000000000001</v>
      </c>
      <c r="K14" s="23">
        <v>1.1850000000000001</v>
      </c>
      <c r="L14" s="23">
        <v>1.1850000000000001</v>
      </c>
      <c r="M14" s="23">
        <v>1.1850000000000001</v>
      </c>
      <c r="N14" s="23">
        <v>1.1850000000000001</v>
      </c>
      <c r="O14" s="23">
        <v>1.1850000000000001</v>
      </c>
      <c r="P14" s="23">
        <v>1.1850000000000001</v>
      </c>
      <c r="Q14" s="23">
        <v>1.1850000000000001</v>
      </c>
    </row>
    <row r="15" spans="2:17" x14ac:dyDescent="0.25"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</row>
    <row r="16" spans="2:17" x14ac:dyDescent="0.25">
      <c r="F16" s="19" t="s">
        <v>16</v>
      </c>
      <c r="G16" s="19">
        <f>$C$11-(G12^2)/(2*$C$8)</f>
        <v>286.52201432296459</v>
      </c>
      <c r="H16" s="19">
        <f t="shared" ref="H16:Q16" si="7">$C$11-(H12^2)/(2*$C$8)</f>
        <v>286.14897140814179</v>
      </c>
      <c r="I16" s="19">
        <f t="shared" si="7"/>
        <v>285.66261501427073</v>
      </c>
      <c r="J16" s="19">
        <f t="shared" si="7"/>
        <v>285.01990440343405</v>
      </c>
      <c r="K16" s="19">
        <f t="shared" si="7"/>
        <v>284.15661221447817</v>
      </c>
      <c r="L16" s="19">
        <f t="shared" si="7"/>
        <v>282.97554808761134</v>
      </c>
      <c r="M16" s="19">
        <f t="shared" si="7"/>
        <v>281.32570900473547</v>
      </c>
      <c r="N16" s="19">
        <f t="shared" si="7"/>
        <v>278.96532184486114</v>
      </c>
      <c r="O16" s="19">
        <f t="shared" si="7"/>
        <v>275.49367218700945</v>
      </c>
      <c r="P16" s="19">
        <f t="shared" si="7"/>
        <v>270.21947670211568</v>
      </c>
      <c r="Q16" s="19">
        <f t="shared" si="7"/>
        <v>261.89289468499038</v>
      </c>
    </row>
    <row r="17" spans="6:22" x14ac:dyDescent="0.25">
      <c r="F17" s="19" t="s">
        <v>17</v>
      </c>
      <c r="G17" s="19">
        <f>SQRT($C$6*$C$7*G16)</f>
        <v>339.28352994509726</v>
      </c>
      <c r="H17" s="19">
        <f t="shared" ref="H17:Q17" si="8">SQRT($C$6*$C$7*H16)</f>
        <v>339.06258960863283</v>
      </c>
      <c r="I17" s="19">
        <f t="shared" si="8"/>
        <v>338.77432124974496</v>
      </c>
      <c r="J17" s="19">
        <f t="shared" si="8"/>
        <v>338.39300348713948</v>
      </c>
      <c r="K17" s="19">
        <f t="shared" si="8"/>
        <v>337.88013828660974</v>
      </c>
      <c r="L17" s="19">
        <f t="shared" si="8"/>
        <v>337.17722725610815</v>
      </c>
      <c r="M17" s="19">
        <f t="shared" si="8"/>
        <v>336.19286415733114</v>
      </c>
      <c r="N17" s="19">
        <f t="shared" si="8"/>
        <v>334.77952577278211</v>
      </c>
      <c r="O17" s="19">
        <f t="shared" si="8"/>
        <v>332.68988282301382</v>
      </c>
      <c r="P17" s="19">
        <f t="shared" si="8"/>
        <v>329.48989838145775</v>
      </c>
      <c r="Q17" s="19">
        <f t="shared" si="8"/>
        <v>324.37370251448789</v>
      </c>
    </row>
    <row r="18" spans="6:22" x14ac:dyDescent="0.25">
      <c r="F18" s="19" t="s">
        <v>18</v>
      </c>
      <c r="G18" s="19">
        <f>G12/G17</f>
        <v>0.16906785949336325</v>
      </c>
      <c r="H18" s="19">
        <f t="shared" ref="H18:Q18" si="9">H12/H17</f>
        <v>0.18745543221069297</v>
      </c>
      <c r="I18" s="19">
        <f t="shared" si="9"/>
        <v>0.20907449026547001</v>
      </c>
      <c r="J18" s="19">
        <f t="shared" si="9"/>
        <v>0.23470310874711103</v>
      </c>
      <c r="K18" s="19">
        <f t="shared" si="9"/>
        <v>0.26541162981987654</v>
      </c>
      <c r="L18" s="19">
        <f t="shared" si="9"/>
        <v>0.30266483990438142</v>
      </c>
      <c r="M18" s="19">
        <f t="shared" si="9"/>
        <v>0.34851945354039338</v>
      </c>
      <c r="N18" s="19">
        <f t="shared" si="9"/>
        <v>0.40595524641638442</v>
      </c>
      <c r="O18" s="19">
        <f t="shared" si="9"/>
        <v>0.47946239452582506</v>
      </c>
      <c r="P18" s="19">
        <f t="shared" si="9"/>
        <v>0.57616149533036087</v>
      </c>
      <c r="Q18" s="19">
        <f t="shared" si="9"/>
        <v>0.7081565099381758</v>
      </c>
    </row>
    <row r="19" spans="6:22" x14ac:dyDescent="0.25"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</row>
    <row r="20" spans="6:22" x14ac:dyDescent="0.25">
      <c r="F20" s="35" t="s">
        <v>20</v>
      </c>
      <c r="G20" s="35">
        <f>1-((($C$6-1)/($C$6+1))*G21^2)</f>
        <v>0.99459235536867718</v>
      </c>
      <c r="H20" s="35">
        <f t="shared" ref="H20:Q20" si="10">1-((($C$6-1)/($C$6+1))*H21^2)</f>
        <v>0.9934335745165318</v>
      </c>
      <c r="I20" s="35">
        <f t="shared" si="10"/>
        <v>0.99196042555157893</v>
      </c>
      <c r="J20" s="35">
        <f t="shared" si="10"/>
        <v>0.99007620549130937</v>
      </c>
      <c r="K20" s="35">
        <f t="shared" si="10"/>
        <v>0.98765112516205777</v>
      </c>
      <c r="L20" s="35">
        <f t="shared" si="10"/>
        <v>0.98451570733030835</v>
      </c>
      <c r="M20" s="35">
        <f t="shared" si="10"/>
        <v>0.9804549489867217</v>
      </c>
      <c r="N20" s="35">
        <f t="shared" si="10"/>
        <v>0.97521062787936008</v>
      </c>
      <c r="O20" s="35">
        <f t="shared" si="10"/>
        <v>0.96850401863499058</v>
      </c>
      <c r="P20" s="35">
        <f t="shared" si="10"/>
        <v>0.96009889378496471</v>
      </c>
      <c r="Q20" s="35">
        <f t="shared" si="10"/>
        <v>0.94992582806459369</v>
      </c>
    </row>
    <row r="21" spans="6:22" x14ac:dyDescent="0.25">
      <c r="F21" s="35" t="s">
        <v>19</v>
      </c>
      <c r="G21" s="35">
        <f>SQRT(((($C$6+1)/2)*G18^2)/(1+2*G18^2))</f>
        <v>0.18012736546104449</v>
      </c>
      <c r="H21" s="35">
        <f t="shared" ref="H21:Q21" si="11">SQRT(((($C$6+1)/2)*H18^2)/(1+2*H18^2))</f>
        <v>0.19849068718911952</v>
      </c>
      <c r="I21" s="35">
        <f t="shared" si="11"/>
        <v>0.21963024994414249</v>
      </c>
      <c r="J21" s="35">
        <f t="shared" si="11"/>
        <v>0.24401386651611354</v>
      </c>
      <c r="K21" s="35">
        <f t="shared" si="11"/>
        <v>0.27220075133557836</v>
      </c>
      <c r="L21" s="35">
        <f t="shared" si="11"/>
        <v>0.30480445537778816</v>
      </c>
      <c r="M21" s="35">
        <f t="shared" si="11"/>
        <v>0.3424475231034233</v>
      </c>
      <c r="N21" s="35">
        <f t="shared" si="11"/>
        <v>0.38566336710120586</v>
      </c>
      <c r="O21" s="35">
        <f t="shared" si="11"/>
        <v>0.43471357028514379</v>
      </c>
      <c r="P21" s="35">
        <f t="shared" si="11"/>
        <v>0.48929197550155235</v>
      </c>
      <c r="Q21" s="35">
        <f t="shared" si="11"/>
        <v>0.54812866337424626</v>
      </c>
    </row>
    <row r="22" spans="6:22" x14ac:dyDescent="0.25">
      <c r="F22" s="35" t="s">
        <v>21</v>
      </c>
      <c r="G22" s="35">
        <f>(1-((($C$6-1)/($C$6+1))*G21^2))^($C$6/($C$6-1))</f>
        <v>0.98120083457136054</v>
      </c>
      <c r="H22" s="35">
        <f t="shared" ref="H22:Q22" si="12">(1-((($C$6-1)/($C$6+1))*H21^2))^($C$6/($C$6-1))</f>
        <v>0.97720553297139401</v>
      </c>
      <c r="I22" s="35">
        <f t="shared" si="12"/>
        <v>0.97214313093338578</v>
      </c>
      <c r="J22" s="35">
        <f t="shared" si="12"/>
        <v>0.96569544143026032</v>
      </c>
      <c r="K22" s="35">
        <f t="shared" si="12"/>
        <v>0.95744198942442293</v>
      </c>
      <c r="L22" s="35">
        <f t="shared" si="12"/>
        <v>0.94684583468535755</v>
      </c>
      <c r="M22" s="35">
        <f t="shared" si="12"/>
        <v>0.93324731817462836</v>
      </c>
      <c r="N22" s="35">
        <f t="shared" si="12"/>
        <v>0.91589247229469972</v>
      </c>
      <c r="O22" s="35">
        <f t="shared" si="12"/>
        <v>0.89403597527738221</v>
      </c>
      <c r="P22" s="35">
        <f t="shared" si="12"/>
        <v>0.86717328992627773</v>
      </c>
      <c r="Q22" s="35">
        <f t="shared" si="12"/>
        <v>0.83543744419327803</v>
      </c>
    </row>
    <row r="23" spans="6:22" x14ac:dyDescent="0.25">
      <c r="F23" s="35" t="s">
        <v>5</v>
      </c>
      <c r="G23" s="35">
        <f>G14/G22</f>
        <v>1.2077038239757201</v>
      </c>
      <c r="H23" s="35">
        <f t="shared" ref="H23:Q23" si="13">H14/H22</f>
        <v>1.2126415170785663</v>
      </c>
      <c r="I23" s="35">
        <f t="shared" si="13"/>
        <v>1.2189563062203028</v>
      </c>
      <c r="J23" s="35">
        <f t="shared" si="13"/>
        <v>1.2270949506036135</v>
      </c>
      <c r="K23" s="35">
        <f t="shared" si="13"/>
        <v>1.237672896205833</v>
      </c>
      <c r="L23" s="35">
        <f t="shared" si="13"/>
        <v>1.2515236975127872</v>
      </c>
      <c r="M23" s="35">
        <f t="shared" si="13"/>
        <v>1.2697598770685821</v>
      </c>
      <c r="N23" s="35">
        <f t="shared" si="13"/>
        <v>1.293820001633021</v>
      </c>
      <c r="O23" s="35">
        <f t="shared" si="13"/>
        <v>1.325450018532357</v>
      </c>
      <c r="P23" s="35">
        <f t="shared" si="13"/>
        <v>1.3665088786357134</v>
      </c>
      <c r="Q23" s="35">
        <f t="shared" si="13"/>
        <v>1.418418588053914</v>
      </c>
    </row>
    <row r="26" spans="6:22" x14ac:dyDescent="0.25">
      <c r="P26" s="19"/>
      <c r="Q26" s="19">
        <v>0</v>
      </c>
      <c r="R26" s="19">
        <v>2.5000000000000001E-2</v>
      </c>
      <c r="S26" s="19">
        <v>0.05</v>
      </c>
      <c r="T26" s="19">
        <v>7.4999999999999997E-2</v>
      </c>
      <c r="U26" s="19">
        <v>0.1</v>
      </c>
      <c r="V26" s="28"/>
    </row>
    <row r="27" spans="6:22" x14ac:dyDescent="0.25">
      <c r="P27" s="19" t="s">
        <v>22</v>
      </c>
      <c r="Q27" s="19">
        <v>46.31</v>
      </c>
      <c r="R27" s="19">
        <v>58.19</v>
      </c>
      <c r="S27" s="19">
        <v>80.48</v>
      </c>
      <c r="T27" s="19">
        <v>120.03</v>
      </c>
      <c r="U27" s="19">
        <v>213.26</v>
      </c>
      <c r="V27" s="28"/>
    </row>
    <row r="28" spans="6:22" x14ac:dyDescent="0.25">
      <c r="P28" s="19" t="s">
        <v>23</v>
      </c>
      <c r="Q28" s="19">
        <v>133165</v>
      </c>
      <c r="R28" s="19">
        <v>132230</v>
      </c>
      <c r="S28" s="19">
        <v>129765</v>
      </c>
      <c r="T28" s="19">
        <v>123565</v>
      </c>
      <c r="U28" s="19">
        <v>101336</v>
      </c>
      <c r="V28" s="28"/>
    </row>
    <row r="29" spans="6:22" x14ac:dyDescent="0.25">
      <c r="P29" s="19" t="s">
        <v>24</v>
      </c>
      <c r="Q29" s="19">
        <v>1.387</v>
      </c>
      <c r="R29" s="19"/>
      <c r="S29" s="19"/>
      <c r="T29" s="19"/>
      <c r="U29" s="19"/>
      <c r="V29" s="28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V24"/>
  <sheetViews>
    <sheetView topLeftCell="A19" zoomScale="80" zoomScaleNormal="80" workbookViewId="0">
      <selection activeCell="V13" sqref="V13"/>
    </sheetView>
  </sheetViews>
  <sheetFormatPr defaultRowHeight="15" x14ac:dyDescent="0.25"/>
  <cols>
    <col min="7" max="7" width="11.140625" bestFit="1" customWidth="1"/>
  </cols>
  <sheetData>
    <row r="1" spans="2:17" x14ac:dyDescent="0.25">
      <c r="F1" s="1" t="s">
        <v>8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2:17" x14ac:dyDescent="0.25">
      <c r="F2" s="1" t="s">
        <v>9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</row>
    <row r="3" spans="2:17" x14ac:dyDescent="0.25">
      <c r="B3" s="1" t="s">
        <v>0</v>
      </c>
      <c r="C3" s="1">
        <v>0.1</v>
      </c>
      <c r="F3" s="1" t="s">
        <v>3</v>
      </c>
      <c r="G3" s="4">
        <v>0.08</v>
      </c>
      <c r="H3" s="5">
        <f>G3+($Q$3-$G$3)/10</f>
        <v>7.5999999999999998E-2</v>
      </c>
      <c r="I3" s="5">
        <f t="shared" ref="I3:P3" si="1">H3+($Q$3-$G$3)/10</f>
        <v>7.1999999999999995E-2</v>
      </c>
      <c r="J3" s="5">
        <f t="shared" si="1"/>
        <v>6.7999999999999991E-2</v>
      </c>
      <c r="K3" s="5">
        <f t="shared" si="1"/>
        <v>6.3999999999999987E-2</v>
      </c>
      <c r="L3" s="5">
        <f t="shared" si="1"/>
        <v>5.9999999999999984E-2</v>
      </c>
      <c r="M3" s="5">
        <f t="shared" si="1"/>
        <v>5.599999999999998E-2</v>
      </c>
      <c r="N3" s="5">
        <f t="shared" si="1"/>
        <v>5.1999999999999977E-2</v>
      </c>
      <c r="O3" s="5">
        <f t="shared" si="1"/>
        <v>4.7999999999999973E-2</v>
      </c>
      <c r="P3" s="5">
        <f t="shared" si="1"/>
        <v>4.399999999999997E-2</v>
      </c>
      <c r="Q3" s="4">
        <v>0.04</v>
      </c>
    </row>
    <row r="4" spans="2:17" x14ac:dyDescent="0.25">
      <c r="B4" s="1" t="s">
        <v>1</v>
      </c>
      <c r="C4" s="1">
        <f>C3/10</f>
        <v>0.01</v>
      </c>
      <c r="F4" s="1" t="s">
        <v>10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6">
        <f t="shared" si="2"/>
        <v>5.0265482457436689E-3</v>
      </c>
    </row>
    <row r="5" spans="2:17" x14ac:dyDescent="0.25">
      <c r="F5" s="16" t="s">
        <v>11</v>
      </c>
      <c r="G5" s="17">
        <v>41.933062687226695</v>
      </c>
      <c r="H5" s="17">
        <v>46.551386940871602</v>
      </c>
      <c r="I5" s="17">
        <v>51.991442662699896</v>
      </c>
      <c r="J5" s="17">
        <v>58.486335177502596</v>
      </c>
      <c r="K5" s="17">
        <v>66.342073094497692</v>
      </c>
      <c r="L5" s="17">
        <v>75.99585506347006</v>
      </c>
      <c r="M5" s="17">
        <v>88.101272594774684</v>
      </c>
      <c r="N5" s="17">
        <v>103.70025337999361</v>
      </c>
      <c r="O5" s="17">
        <v>124.62615939424906</v>
      </c>
      <c r="P5" s="17">
        <v>154.71264266962615</v>
      </c>
      <c r="Q5" s="17">
        <v>205.86865898669578</v>
      </c>
    </row>
    <row r="6" spans="2:17" x14ac:dyDescent="0.25">
      <c r="B6" s="14" t="s">
        <v>2</v>
      </c>
      <c r="C6" s="14">
        <v>1.4</v>
      </c>
      <c r="F6" s="16" t="s">
        <v>12</v>
      </c>
      <c r="G6" s="17">
        <v>133575.51445170629</v>
      </c>
      <c r="H6" s="17">
        <v>133227.85858173415</v>
      </c>
      <c r="I6" s="17">
        <v>132771.60956635035</v>
      </c>
      <c r="J6" s="17">
        <v>132160.88642409007</v>
      </c>
      <c r="K6" s="17">
        <v>131326.83841130373</v>
      </c>
      <c r="L6" s="17">
        <v>130160.38230722559</v>
      </c>
      <c r="M6" s="17">
        <v>128480.77690377602</v>
      </c>
      <c r="N6" s="17">
        <v>125969.8958123503</v>
      </c>
      <c r="O6" s="17">
        <v>122015.72675961358</v>
      </c>
      <c r="P6" s="17">
        <v>115248.62599135554</v>
      </c>
      <c r="Q6" s="17">
        <v>101325</v>
      </c>
    </row>
    <row r="7" spans="2:17" x14ac:dyDescent="0.25">
      <c r="B7" s="14" t="s">
        <v>3</v>
      </c>
      <c r="C7" s="14">
        <v>286.97199999999998</v>
      </c>
      <c r="F7" s="16" t="s">
        <v>13</v>
      </c>
      <c r="G7" s="18">
        <v>1.6202233645323596</v>
      </c>
      <c r="H7" s="18">
        <v>1.6171515456613619</v>
      </c>
      <c r="I7" s="18">
        <v>1.6131130011710286</v>
      </c>
      <c r="J7" s="18">
        <v>1.6076952220733001</v>
      </c>
      <c r="K7" s="18">
        <v>1.600276374519144</v>
      </c>
      <c r="L7" s="18">
        <v>1.5898655462167672</v>
      </c>
      <c r="M7" s="18">
        <v>1.5748084631441936</v>
      </c>
      <c r="N7" s="18">
        <v>1.5521638367984489</v>
      </c>
      <c r="O7" s="18">
        <v>1.5161934251354421</v>
      </c>
      <c r="P7" s="18">
        <v>1.4537933179322224</v>
      </c>
      <c r="Q7" s="18">
        <v>1.3221024765583353</v>
      </c>
    </row>
    <row r="8" spans="2:17" x14ac:dyDescent="0.25">
      <c r="B8" s="14" t="s">
        <v>4</v>
      </c>
      <c r="C8" s="14">
        <f>C7*(C6/(C6-1))</f>
        <v>1004.402</v>
      </c>
      <c r="F8" s="8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17" x14ac:dyDescent="0.25">
      <c r="F9" s="1" t="s">
        <v>14</v>
      </c>
      <c r="G9" s="5">
        <f>G4*G7*G12</f>
        <v>1.3660305191040134</v>
      </c>
      <c r="H9" s="5">
        <f>H4*H7*H12</f>
        <v>1.3660276794910102</v>
      </c>
      <c r="I9" s="5">
        <f t="shared" ref="I9:Q9" si="3">I4*I7*I12</f>
        <v>1.3658771086896666</v>
      </c>
      <c r="J9" s="5">
        <f t="shared" si="3"/>
        <v>1.3659242672573835</v>
      </c>
      <c r="K9" s="5">
        <f t="shared" si="3"/>
        <v>1.3661394697588616</v>
      </c>
      <c r="L9" s="5">
        <f t="shared" si="3"/>
        <v>1.366482223242276</v>
      </c>
      <c r="M9" s="5">
        <f t="shared" si="3"/>
        <v>1.3669009817615767</v>
      </c>
      <c r="N9" s="5">
        <f t="shared" si="3"/>
        <v>1.3673348461226706</v>
      </c>
      <c r="O9" s="5">
        <f t="shared" si="3"/>
        <v>1.3677186458786699</v>
      </c>
      <c r="P9" s="5">
        <f t="shared" si="3"/>
        <v>1.3679932839141384</v>
      </c>
      <c r="Q9" s="5">
        <f t="shared" si="3"/>
        <v>1.368123315349423</v>
      </c>
    </row>
    <row r="10" spans="2:17" x14ac:dyDescent="0.25">
      <c r="B10" s="10" t="s">
        <v>5</v>
      </c>
      <c r="C10" s="10">
        <v>135000</v>
      </c>
      <c r="F10" s="1" t="s">
        <v>15</v>
      </c>
      <c r="G10" s="7">
        <f>(G12)*(G9-H9)</f>
        <v>1.1907341824808284E-4</v>
      </c>
      <c r="H10" s="7">
        <f>(H12)*(H9-I9)</f>
        <v>7.00926506492158E-3</v>
      </c>
      <c r="I10" s="7">
        <f t="shared" ref="I10:P10" si="4">(I12)*(I9-J9)</f>
        <v>-2.4518425401874764E-3</v>
      </c>
      <c r="J10" s="7">
        <f t="shared" si="4"/>
        <v>-1.2586428610306932E-2</v>
      </c>
      <c r="K10" s="7">
        <f t="shared" si="4"/>
        <v>-2.273903875499254E-2</v>
      </c>
      <c r="L10" s="7">
        <f t="shared" si="4"/>
        <v>-3.1824007666735953E-2</v>
      </c>
      <c r="M10" s="7">
        <f t="shared" si="4"/>
        <v>-3.8224108576376328E-2</v>
      </c>
      <c r="N10" s="7">
        <f t="shared" si="4"/>
        <v>-3.980021841213343E-2</v>
      </c>
      <c r="O10" s="7">
        <f t="shared" si="4"/>
        <v>-3.4227130838203675E-2</v>
      </c>
      <c r="P10" s="7">
        <f t="shared" si="4"/>
        <v>-2.0117519340003359E-2</v>
      </c>
      <c r="Q10" s="11">
        <v>0</v>
      </c>
    </row>
    <row r="11" spans="2:17" x14ac:dyDescent="0.25">
      <c r="B11" s="10" t="s">
        <v>6</v>
      </c>
      <c r="C11" s="10">
        <v>288.16000000000003</v>
      </c>
    </row>
    <row r="12" spans="2:17" x14ac:dyDescent="0.25">
      <c r="B12" s="10" t="s">
        <v>12</v>
      </c>
      <c r="C12" s="10">
        <v>101325</v>
      </c>
      <c r="F12" s="1" t="s">
        <v>11</v>
      </c>
      <c r="G12" s="12">
        <f>(H4*H5*H7)/(G4*G7)</f>
        <v>41.932974005512754</v>
      </c>
      <c r="H12" s="3">
        <f>((G6-H6)/H7+G5*H5)^0.5</f>
        <v>46.551290172957685</v>
      </c>
      <c r="I12" s="3">
        <f t="shared" ref="I12:Q12" si="5">((H6-I6)/I7+H5*I5)^0.5</f>
        <v>51.991454764022336</v>
      </c>
      <c r="J12" s="3">
        <f t="shared" si="5"/>
        <v>58.486441950524409</v>
      </c>
      <c r="K12" s="3">
        <f t="shared" si="5"/>
        <v>66.342254288633356</v>
      </c>
      <c r="L12" s="3">
        <f t="shared" si="5"/>
        <v>75.9960841390822</v>
      </c>
      <c r="M12" s="3">
        <f t="shared" si="5"/>
        <v>88.101517441991973</v>
      </c>
      <c r="N12" s="3">
        <f t="shared" si="5"/>
        <v>103.70047867412852</v>
      </c>
      <c r="O12" s="3">
        <f t="shared" si="5"/>
        <v>124.62633145408277</v>
      </c>
      <c r="P12" s="3">
        <f t="shared" si="5"/>
        <v>154.71273770052707</v>
      </c>
      <c r="Q12" s="3">
        <f t="shared" si="5"/>
        <v>205.86867532760903</v>
      </c>
    </row>
    <row r="13" spans="2:17" x14ac:dyDescent="0.25">
      <c r="F13" s="1" t="s">
        <v>12</v>
      </c>
      <c r="G13" s="13">
        <f>C10-(G7*G12^2)/2</f>
        <v>133575.5204305253</v>
      </c>
      <c r="H13" s="2">
        <f>H6+H10</f>
        <v>133227.86559099922</v>
      </c>
      <c r="I13" s="2">
        <f t="shared" ref="I13:P13" si="6">I6+I10</f>
        <v>132771.60711450782</v>
      </c>
      <c r="J13" s="2">
        <f t="shared" si="6"/>
        <v>132160.87383766146</v>
      </c>
      <c r="K13" s="2">
        <f t="shared" si="6"/>
        <v>131326.81567226499</v>
      </c>
      <c r="L13" s="2">
        <f t="shared" si="6"/>
        <v>130160.35048321792</v>
      </c>
      <c r="M13" s="2">
        <f t="shared" si="6"/>
        <v>128480.73867966744</v>
      </c>
      <c r="N13" s="2">
        <f t="shared" si="6"/>
        <v>125969.85601213189</v>
      </c>
      <c r="O13" s="2">
        <f t="shared" si="6"/>
        <v>122015.69253248275</v>
      </c>
      <c r="P13" s="2">
        <f t="shared" si="6"/>
        <v>115248.6058738362</v>
      </c>
      <c r="Q13" s="13">
        <f>Q6+Q10</f>
        <v>101325</v>
      </c>
    </row>
    <row r="14" spans="2:17" x14ac:dyDescent="0.25">
      <c r="B14" s="15" t="s">
        <v>7</v>
      </c>
      <c r="C14" s="15">
        <v>2100</v>
      </c>
      <c r="D14">
        <v>2100</v>
      </c>
      <c r="F14" s="1" t="s">
        <v>13</v>
      </c>
      <c r="G14" s="5">
        <f>G13/($C$7*G16)</f>
        <v>1.6202234161726006</v>
      </c>
      <c r="H14" s="5">
        <f t="shared" ref="H14:Q14" si="7">H13/($C$7*H16)</f>
        <v>1.6171516054775055</v>
      </c>
      <c r="I14" s="5">
        <f t="shared" si="7"/>
        <v>1.6131129749053561</v>
      </c>
      <c r="J14" s="5">
        <f t="shared" si="7"/>
        <v>1.6076951038575533</v>
      </c>
      <c r="K14" s="5">
        <f t="shared" si="7"/>
        <v>1.6002761644071399</v>
      </c>
      <c r="L14" s="5">
        <f t="shared" si="7"/>
        <v>1.589865254089625</v>
      </c>
      <c r="M14" s="5">
        <f t="shared" si="7"/>
        <v>1.5748081135926431</v>
      </c>
      <c r="N14" s="5">
        <f t="shared" si="7"/>
        <v>1.5521634740564856</v>
      </c>
      <c r="O14" s="5">
        <f t="shared" si="7"/>
        <v>1.5161931152506469</v>
      </c>
      <c r="P14" s="5">
        <f t="shared" si="7"/>
        <v>1.4537931411973446</v>
      </c>
      <c r="Q14" s="5">
        <f t="shared" si="7"/>
        <v>1.3221024931393905</v>
      </c>
    </row>
    <row r="16" spans="2:17" x14ac:dyDescent="0.25">
      <c r="F16" s="1" t="s">
        <v>16</v>
      </c>
      <c r="G16" s="1">
        <f>$C$11-(G12^2)/(2*$C$8)</f>
        <v>287.28466606550614</v>
      </c>
      <c r="H16" s="1">
        <f t="shared" ref="H16:Q16" si="8">$C$11-(H12^2)/(2*$C$8)</f>
        <v>287.0812374045617</v>
      </c>
      <c r="I16" s="1">
        <f t="shared" si="8"/>
        <v>286.81436778875423</v>
      </c>
      <c r="J16" s="1">
        <f t="shared" si="8"/>
        <v>286.45716393832748</v>
      </c>
      <c r="K16" s="1">
        <f t="shared" si="8"/>
        <v>285.96899744121492</v>
      </c>
      <c r="L16" s="1">
        <f t="shared" si="8"/>
        <v>285.28495355222589</v>
      </c>
      <c r="M16" s="1">
        <f t="shared" si="8"/>
        <v>284.29607033061387</v>
      </c>
      <c r="N16" s="1">
        <f t="shared" si="8"/>
        <v>282.80667071688259</v>
      </c>
      <c r="O16" s="1">
        <f t="shared" si="8"/>
        <v>280.42817425109524</v>
      </c>
      <c r="P16" s="1">
        <f t="shared" si="8"/>
        <v>276.24443670622321</v>
      </c>
      <c r="Q16" s="1">
        <f t="shared" si="8"/>
        <v>267.06191801631996</v>
      </c>
    </row>
    <row r="17" spans="6:22" x14ac:dyDescent="0.25">
      <c r="F17" s="1" t="s">
        <v>17</v>
      </c>
      <c r="G17" s="1">
        <f>SQRT($C$6*$C$7*G16)</f>
        <v>339.73477488507206</v>
      </c>
      <c r="H17" s="1">
        <f t="shared" ref="H17:Q17" si="9">SQRT($C$6*$C$7*H16)</f>
        <v>339.61446907434117</v>
      </c>
      <c r="I17" s="1">
        <f t="shared" si="9"/>
        <v>339.4565802194798</v>
      </c>
      <c r="J17" s="1">
        <f t="shared" si="9"/>
        <v>339.24513165201586</v>
      </c>
      <c r="K17" s="1">
        <f t="shared" si="9"/>
        <v>338.95594579116096</v>
      </c>
      <c r="L17" s="1">
        <f t="shared" si="9"/>
        <v>338.55030817753675</v>
      </c>
      <c r="M17" s="1">
        <f t="shared" si="9"/>
        <v>337.96304036519092</v>
      </c>
      <c r="N17" s="1">
        <f t="shared" si="9"/>
        <v>337.07660000740384</v>
      </c>
      <c r="O17" s="1">
        <f t="shared" si="9"/>
        <v>335.65614493058132</v>
      </c>
      <c r="P17" s="1">
        <f t="shared" si="9"/>
        <v>333.14289109425943</v>
      </c>
      <c r="Q17" s="1">
        <f t="shared" si="9"/>
        <v>327.55916997051253</v>
      </c>
    </row>
    <row r="18" spans="6:22" x14ac:dyDescent="0.25">
      <c r="F18" s="1" t="s">
        <v>18</v>
      </c>
      <c r="G18" s="1">
        <f>G12/G17</f>
        <v>0.12342855988086043</v>
      </c>
      <c r="H18" s="1">
        <f t="shared" ref="H18:Q18" si="10">H12/H17</f>
        <v>0.1370709861091568</v>
      </c>
      <c r="I18" s="1">
        <f t="shared" si="10"/>
        <v>0.15316083939338171</v>
      </c>
      <c r="J18" s="1">
        <f t="shared" si="10"/>
        <v>0.17240171337378976</v>
      </c>
      <c r="K18" s="1">
        <f t="shared" si="10"/>
        <v>0.19572530033005658</v>
      </c>
      <c r="L18" s="1">
        <f t="shared" si="10"/>
        <v>0.22447501096123545</v>
      </c>
      <c r="M18" s="1">
        <f t="shared" si="10"/>
        <v>0.26068388231681366</v>
      </c>
      <c r="N18" s="1">
        <f t="shared" si="10"/>
        <v>0.30764662593562042</v>
      </c>
      <c r="O18" s="1">
        <f t="shared" si="10"/>
        <v>0.37129167255334278</v>
      </c>
      <c r="P18" s="1">
        <f t="shared" si="10"/>
        <v>0.46440353925112771</v>
      </c>
      <c r="Q18" s="1">
        <f t="shared" si="10"/>
        <v>0.62849309132802389</v>
      </c>
    </row>
    <row r="21" spans="6:22" x14ac:dyDescent="0.25">
      <c r="P21" s="1"/>
      <c r="Q21" s="1">
        <v>0</v>
      </c>
      <c r="R21" s="1">
        <v>2.5000000000000001E-2</v>
      </c>
      <c r="S21" s="1">
        <v>0.05</v>
      </c>
      <c r="T21" s="1">
        <v>7.4999999999999997E-2</v>
      </c>
      <c r="U21" s="1">
        <v>0.1</v>
      </c>
      <c r="V21" s="1"/>
    </row>
    <row r="22" spans="6:22" x14ac:dyDescent="0.25">
      <c r="P22" s="1" t="s">
        <v>22</v>
      </c>
      <c r="Q22" s="1">
        <v>46.31</v>
      </c>
      <c r="R22" s="1">
        <v>58.19</v>
      </c>
      <c r="S22" s="1">
        <v>80.48</v>
      </c>
      <c r="T22" s="1">
        <v>120.03</v>
      </c>
      <c r="U22" s="1">
        <v>213.26</v>
      </c>
      <c r="V22" s="1"/>
    </row>
    <row r="23" spans="6:22" x14ac:dyDescent="0.25">
      <c r="P23" s="1" t="s">
        <v>23</v>
      </c>
      <c r="Q23" s="1">
        <v>133165</v>
      </c>
      <c r="R23" s="1">
        <v>132230</v>
      </c>
      <c r="S23" s="1">
        <v>129765</v>
      </c>
      <c r="T23" s="1">
        <v>123565</v>
      </c>
      <c r="U23" s="1">
        <v>101336</v>
      </c>
      <c r="V23" s="1"/>
    </row>
    <row r="24" spans="6:22" x14ac:dyDescent="0.25">
      <c r="P24" s="1" t="s">
        <v>24</v>
      </c>
      <c r="Q24" s="1">
        <v>1.387</v>
      </c>
      <c r="R24" s="1"/>
      <c r="S24" s="1"/>
      <c r="T24" s="1"/>
      <c r="U24" s="1"/>
      <c r="V24" s="1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ro=const</vt:lpstr>
      <vt:lpstr>ro=var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exel</dc:creator>
  <cp:lastModifiedBy>exel</cp:lastModifiedBy>
  <dcterms:created xsi:type="dcterms:W3CDTF">2021-04-12T05:57:27Z</dcterms:created>
  <dcterms:modified xsi:type="dcterms:W3CDTF">2021-05-23T13:07:26Z</dcterms:modified>
</cp:coreProperties>
</file>